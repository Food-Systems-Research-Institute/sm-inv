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uvmoffice-my.sharepoint.com/personal/swalshda_uvm_edu/Documents/Food Systems Research Center/Sustainability Metrics/2026 Sustainability Metrics Manuscript/Metrics/"/>
    </mc:Choice>
  </mc:AlternateContent>
  <xr:revisionPtr revIDLastSave="1478" documentId="8_{735FDC36-AB7D-4B4C-AD9F-35DAC55E2D3D}" xr6:coauthVersionLast="47" xr6:coauthVersionMax="47" xr10:uidLastSave="{3429583F-3B5B-447F-96AB-8E0A11FCB4A7}"/>
  <bookViews>
    <workbookView xWindow="28680" yWindow="-1860" windowWidth="29040" windowHeight="16440" activeTab="3" xr2:uid="{00000000-000D-0000-FFFF-FFFF00000000}"/>
  </bookViews>
  <sheets>
    <sheet name="Economics" sheetId="3" r:id="rId1"/>
    <sheet name="Environment" sheetId="7" r:id="rId2"/>
    <sheet name="Health" sheetId="6" r:id="rId3"/>
    <sheet name="Production" sheetId="4" r:id="rId4"/>
    <sheet name="Social" sheetId="5" r:id="rId5"/>
    <sheet name="info" sheetId="2" r:id="rId6"/>
    <sheet name="utilities" sheetId="8" r:id="rId7"/>
  </sheets>
  <definedNames>
    <definedName name="_xlnm._FilterDatabase" localSheetId="0" hidden="1">Economics!$A$1:$S$1</definedName>
    <definedName name="_xlnm._FilterDatabase" localSheetId="2">Health!$A$1:$Q$1</definedName>
    <definedName name="_xlnm._FilterDatabase" localSheetId="4" hidden="1">Social!$A$1:$S$1</definedName>
    <definedName name="_xlnm._FilterDatabase" localSheetId="6" hidden="1">utilities!$A$1:$I$30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<sst xmlns="http://schemas.openxmlformats.org/spreadsheetml/2006/main" count="1449" uniqueCount="544">
  <si>
    <t>quality</t>
  </si>
  <si>
    <t>index</t>
  </si>
  <si>
    <t>indicator</t>
  </si>
  <si>
    <t>indicator type (Schreeful et al 2024)</t>
  </si>
  <si>
    <t>keep</t>
  </si>
  <si>
    <t>analyze</t>
  </si>
  <si>
    <t>metric</t>
  </si>
  <si>
    <t>units</t>
  </si>
  <si>
    <t>level_of_analysis</t>
  </si>
  <si>
    <t>definition</t>
  </si>
  <si>
    <t>resolution</t>
  </si>
  <si>
    <t>updates</t>
  </si>
  <si>
    <t>weighting</t>
  </si>
  <si>
    <t>desirable</t>
  </si>
  <si>
    <t>source</t>
  </si>
  <si>
    <t>url</t>
  </si>
  <si>
    <t>notes</t>
  </si>
  <si>
    <t>status</t>
  </si>
  <si>
    <t>variable_name</t>
  </si>
  <si>
    <t>Community Economy</t>
  </si>
  <si>
    <t>Access to Land</t>
  </si>
  <si>
    <t>Result or Outcome</t>
  </si>
  <si>
    <t>x</t>
  </si>
  <si>
    <t>Land and Building Value per Acre</t>
  </si>
  <si>
    <t>Thousand USD</t>
  </si>
  <si>
    <t>farm</t>
  </si>
  <si>
    <t>Average value of land, including buildings, per acre</t>
  </si>
  <si>
    <t>county</t>
  </si>
  <si>
    <t>5 years</t>
  </si>
  <si>
    <t>Total farm income</t>
  </si>
  <si>
    <t>higher</t>
  </si>
  <si>
    <t>U.S. Department of Agriculture, National Agricultural Statistics Service. (2024). 2022 Census of Agriculture.</t>
  </si>
  <si>
    <t>https://www.nass.usda.gov/Publications/AgCensus/2022/</t>
  </si>
  <si>
    <t>done</t>
  </si>
  <si>
    <t>landValPerAcre</t>
  </si>
  <si>
    <t>Business Failure Rate</t>
  </si>
  <si>
    <t>Outcome</t>
  </si>
  <si>
    <t>Change in Agricultural Establishments</t>
  </si>
  <si>
    <t>Percentage</t>
  </si>
  <si>
    <t>Over-the-year percent change in number of agricultural establishments in NAICS sector 11</t>
  </si>
  <si>
    <t>annual</t>
  </si>
  <si>
    <t>none</t>
  </si>
  <si>
    <t>U.S. Bureau of Labor Statistics, Quarterly Census of Employment and Wages</t>
  </si>
  <si>
    <t>https://www.bls.gov/cew/</t>
  </si>
  <si>
    <t>otyAnnualAvgEstabsCountPctChgNAICS11</t>
  </si>
  <si>
    <t>NONE</t>
  </si>
  <si>
    <t>Diversity of Farm Types</t>
  </si>
  <si>
    <t>Practice</t>
  </si>
  <si>
    <t>?</t>
  </si>
  <si>
    <t>What does this mean in relation to value from rural landscape? We can get production variety from NASS, but more categorical distinctions might be farm level only. Consider natural capital index to match index? Or consider proportion of family farms vs corporate? Check NASS again for this</t>
  </si>
  <si>
    <t>Local Inputs</t>
  </si>
  <si>
    <t>Sounds like a farm-level metric, no good corollary in secondary data</t>
  </si>
  <si>
    <t>Precarity Index</t>
  </si>
  <si>
    <t>need clarity on these, and the index itself</t>
  </si>
  <si>
    <t>Wealth and Income Distribution</t>
  </si>
  <si>
    <t>Average Weekly Wages</t>
  </si>
  <si>
    <t>USD</t>
  </si>
  <si>
    <t>sector</t>
  </si>
  <si>
    <t>Average weekly wage in NAICS sector 11, agriculture</t>
  </si>
  <si>
    <t>GDP</t>
  </si>
  <si>
    <t xml:space="preserve">annualAvgWklyWageNAICS11       </t>
  </si>
  <si>
    <t>Gini Index</t>
  </si>
  <si>
    <t>Index</t>
  </si>
  <si>
    <t>population</t>
  </si>
  <si>
    <t>Gini Index of income inequality. 0 is perfect inequality, while 1 is perfect inequality</t>
  </si>
  <si>
    <t>Population (5 year, smooth)</t>
  </si>
  <si>
    <t>lower</t>
  </si>
  <si>
    <t>U.S. Census Bureau, American Community Survey: 5-Year Estimates: Detailed Tables, 2022.</t>
  </si>
  <si>
    <t>https://www.census.gov/data/developers/data-sets/acs-5year.html</t>
  </si>
  <si>
    <t>Consider reworking with income distribution in food business</t>
  </si>
  <si>
    <t>gini</t>
  </si>
  <si>
    <t>Marketplace</t>
  </si>
  <si>
    <t>Consumer Price Index for food at home</t>
  </si>
  <si>
    <t>Average annual change in prices paid by urban consumers in the Northeast for food at home, which excludes restaurants, alcohol, and other beverages. Not seasonally adjusted at this scale.</t>
  </si>
  <si>
    <t>system</t>
  </si>
  <si>
    <t>monthly</t>
  </si>
  <si>
    <t>U.S. Bureau of Labor Statistics, Office of Prices and Living Conditions</t>
  </si>
  <si>
    <t>https://www.bls.gov/cpi/data.htm</t>
  </si>
  <si>
    <t>Pretty limited. BLS only provides this at regional or metroplitan scales, and only for urban consumers.</t>
  </si>
  <si>
    <t>to do if worth</t>
  </si>
  <si>
    <t>cpiFoodAtHome</t>
  </si>
  <si>
    <t>Food Business Resilience</t>
  </si>
  <si>
    <t>Farm Insurance</t>
  </si>
  <si>
    <t>Target</t>
  </si>
  <si>
    <t>Total Indemnities</t>
  </si>
  <si>
    <t>Sum of indemnity amounts for all final loss amounts (stage code = FL)</t>
  </si>
  <si>
    <t>U.S. Department of Agriculture, Risk Management Agency (2025). Summary of Business - Cause of Loss</t>
  </si>
  <si>
    <t>https://www.rma.usda.gov/tools-reports</t>
  </si>
  <si>
    <t>totalIndemnities</t>
  </si>
  <si>
    <t>Income Stability</t>
  </si>
  <si>
    <t>Expenses per Operation</t>
  </si>
  <si>
    <t>Expense totals, operating - expense, measured in $ / operation</t>
  </si>
  <si>
    <t>GDP from agriculture</t>
  </si>
  <si>
    <t>expPF</t>
  </si>
  <si>
    <t>Labor Expenses</t>
  </si>
  <si>
    <t>Hired labor expenses as a percentage of total operating expenses</t>
  </si>
  <si>
    <t>state</t>
  </si>
  <si>
    <t>expHiredLaborPercOpExp</t>
  </si>
  <si>
    <t>Percent Change in Wages</t>
  </si>
  <si>
    <t>Over-the-year percent change in average weekly wage, agricultural sector</t>
  </si>
  <si>
    <t>otyAnnualAvgWklyWagePctChgNAICS11</t>
  </si>
  <si>
    <t>Market Health Index</t>
  </si>
  <si>
    <t>Market Mix</t>
  </si>
  <si>
    <t>Market Channel Ratio</t>
  </si>
  <si>
    <t>Ratio</t>
  </si>
  <si>
    <t>Proportion of commodity sales, including value-added, from retail channels to wholesale channels</t>
  </si>
  <si>
    <t>Functionally only 2 NASS variables that work here, despite many apparent options: retail and wholesale. And it is dominated by wholesale, so if we want diversity here, it should just be a higher ratio of retail to wholesale</t>
  </si>
  <si>
    <t>retailSalesPropWholesale</t>
  </si>
  <si>
    <t>Operations Diversification</t>
  </si>
  <si>
    <t>Sales from Agritourism and Recreation</t>
  </si>
  <si>
    <t>Proportion</t>
  </si>
  <si>
    <t>Income from agritourism and recreation as a proportion of total income.</t>
  </si>
  <si>
    <t>U.S. Department of Agriculture, National Agricultural Statistical Survey, Census of Agriculture</t>
  </si>
  <si>
    <t>https://www.nass.usda.gov/datasets/</t>
  </si>
  <si>
    <t>incomeAgTourismRecPropTotal</t>
  </si>
  <si>
    <t>Carbon, GHG, and Nutrients</t>
  </si>
  <si>
    <t>Carbon Fluxes</t>
  </si>
  <si>
    <t>CH4 Emissions from Agriculture</t>
  </si>
  <si>
    <t>Tg</t>
  </si>
  <si>
    <t>Total CH4 emissions from agriculture (Tg)</t>
  </si>
  <si>
    <t>U.S. Environmental Protection Agency State GHG Data (2024).</t>
  </si>
  <si>
    <t>https://cfpub.epa.gov/ghgdata/inventoryexplorer/</t>
  </si>
  <si>
    <t>possibly ditch? Keep CO2e</t>
  </si>
  <si>
    <t>done unless better dataset</t>
  </si>
  <si>
    <t>CH4FromAg</t>
  </si>
  <si>
    <t>CO2 Emissions from Agriculture</t>
  </si>
  <si>
    <t>Total CO2 emissions from agriculture (Tg)</t>
  </si>
  <si>
    <t>CO2FromAg</t>
  </si>
  <si>
    <t>N2O Emissions from Agriculture</t>
  </si>
  <si>
    <t>Total N2O emissions from agriculture (Tg)</t>
  </si>
  <si>
    <t>N2OFromAg</t>
  </si>
  <si>
    <t>Carbon Stocks</t>
  </si>
  <si>
    <t>Total Ecosystem Carbon per Acre</t>
  </si>
  <si>
    <t>Mg CO2 per acre</t>
  </si>
  <si>
    <t>Total ecosystem carbon includes all live and dead forest carbon pools</t>
  </si>
  <si>
    <t>30m</t>
  </si>
  <si>
    <t>Acres of land</t>
  </si>
  <si>
    <t>USDA National Forest Carbon Monitoring System</t>
  </si>
  <si>
    <t>https://www.fs.usda.gov/rds/archive/catalog/RDS-2025-0019</t>
  </si>
  <si>
    <t>More recent data than TreeMap, but unclear on updates</t>
  </si>
  <si>
    <t>totalEcosystemCarbonPerAcre</t>
  </si>
  <si>
    <t>Embodied Carbon</t>
  </si>
  <si>
    <t>Fuel Expenses</t>
  </si>
  <si>
    <t>Fuel and lubricant expenses as a proportion of total expenses</t>
  </si>
  <si>
    <t>Total number of operations</t>
  </si>
  <si>
    <t>fuelExpensePropTotalExpense</t>
  </si>
  <si>
    <t>Forests</t>
  </si>
  <si>
    <t>Forest Complexity</t>
  </si>
  <si>
    <t>Tree Size Diversity</t>
  </si>
  <si>
    <t>Standard Deviations</t>
  </si>
  <si>
    <t>Standard deviation of distribution of tree sizes as measured by DBH (diameter at breast height)</t>
  </si>
  <si>
    <t>U.S. Forest Service, Forest Inventory Analysis (2025)</t>
  </si>
  <si>
    <t>https://research.fs.usda.gov/products/dataandtools/fia-datamart</t>
  </si>
  <si>
    <t>Need to see whether state or county level makes more sense based on number of observations. Also note that 2024 data exist but are very sparse (about a third of the observations of 2021)</t>
  </si>
  <si>
    <t>sizeDiversity</t>
  </si>
  <si>
    <t>Tree Species Diversity</t>
  </si>
  <si>
    <t>Shannon index of diversity on tree species. Larger values are more diverse.</t>
  </si>
  <si>
    <t>treeDiversity</t>
  </si>
  <si>
    <t>Forest Health</t>
  </si>
  <si>
    <t>Proportion of Invasive Species</t>
  </si>
  <si>
    <t>Proportion of invasive species out of all observed species.</t>
  </si>
  <si>
    <t>Need to see whether state or county level makes more sense based on number of observations. Also note that 2024 data exist but are very sparse (about a third of the observations of 2021). Consider NDVI as an alternative?</t>
  </si>
  <si>
    <t xml:space="preserve">done, not sure whether this is best way to handle it though. </t>
  </si>
  <si>
    <t>propInvasive</t>
  </si>
  <si>
    <t>Soils</t>
  </si>
  <si>
    <t>Soil Biology</t>
  </si>
  <si>
    <t>Result</t>
  </si>
  <si>
    <t>Metric recommendations from Mojtaba. They are not available throughout system. SSURGO is not really appropriate. CASH is not really accessible.</t>
  </si>
  <si>
    <t>Soil Chemistry</t>
  </si>
  <si>
    <t>Soil Structure</t>
  </si>
  <si>
    <t>Species and Habitat</t>
  </si>
  <si>
    <t>Biodiversity</t>
  </si>
  <si>
    <t>Rarefied Richness of Animals</t>
  </si>
  <si>
    <t>population/sector if filtered to ag land?</t>
  </si>
  <si>
    <t>Rarefied richness for animals after filtering for counties with &gt; 100 animal observations per year</t>
  </si>
  <si>
    <t>continuous</t>
  </si>
  <si>
    <t>iNaturalist</t>
  </si>
  <si>
    <t>Might account for observation bias? But lose some counties entirely</t>
  </si>
  <si>
    <t>plantRar</t>
  </si>
  <si>
    <t>Rarefied Richness of Plants</t>
  </si>
  <si>
    <t>Rarefied richness for plants after filtering for counties with &gt; 100 plant observations per year</t>
  </si>
  <si>
    <t>animalRar</t>
  </si>
  <si>
    <t>Land Use Diversity</t>
  </si>
  <si>
    <t>Shannon diversity of LULC proportions from MRLC Land Use Land Cover 30m layer by county. LULC Codes grouped into categories: low development, high developed, forest, grasslands, wetlands, and the remaining categories: barren, open water, cultivated crops, barren.</t>
  </si>
  <si>
    <t>U.S. Geological Survey, Multi-Resolution Land Characteristics Consortium (2024). Sioux Falls, SD</t>
  </si>
  <si>
    <t>https://www.mrlc.gov/data/type/land-cover</t>
  </si>
  <si>
    <t>Shannon index of LULC types with some grouping - forests, high and low development, wetlands, grasslands and shrubs</t>
  </si>
  <si>
    <t>lulcDiversity</t>
  </si>
  <si>
    <t>Sensitive or Rare Habitats</t>
  </si>
  <si>
    <t>Percentage of Ecosystems at Risk</t>
  </si>
  <si>
    <t>Percentage of ecosystems within state that are at risk (vulnerable, imperiled, or critically imperiled)</t>
  </si>
  <si>
    <t>NatureServe</t>
  </si>
  <si>
    <t>https://geohub-natureserve.opendata.arcgis.com/datasets/Natureserve::natureserve-biodiversity-in-focus-total-ecosystems/about</t>
  </si>
  <si>
    <t>state only</t>
  </si>
  <si>
    <t>pctAtRiskEcosystems</t>
  </si>
  <si>
    <t>Water</t>
  </si>
  <si>
    <t>Water Quality</t>
  </si>
  <si>
    <t>Lake Habitat Complexity Condition</t>
  </si>
  <si>
    <t>Qualitative ratings recoded to 3 (Good), 2 (Fair), and 1 (Poor) and averaged by state</t>
  </si>
  <si>
    <t>U.S. Environmental Protection Agency, National Aquatic Resource Surveys, 2022</t>
  </si>
  <si>
    <t>https://www.epa.gov/national-aquatic-resource-surveys/data-national-aquatic-resource-surveys</t>
  </si>
  <si>
    <t>could use better source - categorical, and state level only</t>
  </si>
  <si>
    <t>lakesLitripcvrCond</t>
  </si>
  <si>
    <t>Riparian Vegetation Condition</t>
  </si>
  <si>
    <t>lakesRvegCond</t>
  </si>
  <si>
    <t>Water Quantity</t>
  </si>
  <si>
    <t>Annual Precipitation</t>
  </si>
  <si>
    <t>cm/sq km</t>
  </si>
  <si>
    <t>Annual precipitation by county in cm/sq km</t>
  </si>
  <si>
    <t>4km</t>
  </si>
  <si>
    <t>daily</t>
  </si>
  <si>
    <t>target</t>
  </si>
  <si>
    <t>PRISM Group, Oregon State University (2025).</t>
  </si>
  <si>
    <t>https://www.prism.oregonstate.edu/recent/</t>
  </si>
  <si>
    <t>annualPrecipCMSqKm</t>
  </si>
  <si>
    <t>Weeks of Extreme Drought</t>
  </si>
  <si>
    <t>Count</t>
  </si>
  <si>
    <t>Weeks in the year in which there were severe droughts or worse, as defined by the US Drought Monitor (below 10th percentile for most indicators)</t>
  </si>
  <si>
    <t>weekly</t>
  </si>
  <si>
    <t>U.S. Department of Agriculture, U.S. Drought Monitor. (2024).</t>
  </si>
  <si>
    <t>https://droughtmonitor.unl.edu/DmData/DataDownload.aspx</t>
  </si>
  <si>
    <t>This is tabular data pulled from API, but they also have rasters and vectors</t>
  </si>
  <si>
    <t>droughtNonConWeeksCat2</t>
  </si>
  <si>
    <t>U.S. Census Bureau, American Community Survey: 5-Year Estimates: Detailed Tables, 2022</t>
  </si>
  <si>
    <t>Food Security</t>
  </si>
  <si>
    <t>Access to Culturally Appropriate Food</t>
  </si>
  <si>
    <t>SFAs Serving Culturally Relevant Food</t>
  </si>
  <si>
    <t>Percentage of School Food Authorities growing or serving culturally relevant foods</t>
  </si>
  <si>
    <t>~ 4 years</t>
  </si>
  <si>
    <t>Number of school food authorities</t>
  </si>
  <si>
    <t>U.S. Department of Agriculture Food and Nutrition Service Farm to School Program Census (2023).</t>
  </si>
  <si>
    <t>https://farmtoschoolcensus.fns.usda.gov/census-results/census-data-explorer</t>
  </si>
  <si>
    <t>Another option: specialized food stores per capita (food environment index)</t>
  </si>
  <si>
    <t>sfaCulturallyRelevant</t>
  </si>
  <si>
    <t>Food Access</t>
  </si>
  <si>
    <t>Limited Access to Healthy Foods</t>
  </si>
  <si>
    <t>Percentage of population who are low-income and do not live close to a grocery store.</t>
  </si>
  <si>
    <t>University of Wisconsin Population Health Institute, County Health Rankings and Roadmaps. (2024)</t>
  </si>
  <si>
    <t>https://www.countyhealthrankings.org/health-data/methodology-and-sources/data-documentation</t>
  </si>
  <si>
    <t>check methods on this one</t>
  </si>
  <si>
    <t>get this from source instead of FAME? Not sure how they got so many years though</t>
  </si>
  <si>
    <t>limitedAccessToHealthyFoods</t>
  </si>
  <si>
    <t>Food Affordability</t>
  </si>
  <si>
    <t>Price of a Meal</t>
  </si>
  <si>
    <t>Average cost of a meal, based on NielsenIQ data of UPC-coded food items in each county mapped to 24 food categories from the USDA Thrift Food Plan.</t>
  </si>
  <si>
    <t>Feeding America (2025). Map the Meal Gap.</t>
  </si>
  <si>
    <t>https://map.feedingamerica.org/</t>
  </si>
  <si>
    <t>costPerMeal</t>
  </si>
  <si>
    <t>Food Agency</t>
  </si>
  <si>
    <t>Food Insecurity</t>
  </si>
  <si>
    <t>Food Insecurity Rate, Overall</t>
  </si>
  <si>
    <t>Proportion of inhabitants who are food insecure, as defined by answering 3 or more questions affirmatively in the Core Food Security Module of the Current Population Survey.</t>
  </si>
  <si>
    <t>Feeding America, Map the Meal Gap</t>
  </si>
  <si>
    <t>https://map.feedingamerica.org</t>
  </si>
  <si>
    <t>Index, check for redundancy. Might be overlapping with access, agency, affordability. Also note to rework metadata. Added this index to find a place for an overall index of food insecurity. Note that data from 2018 or later cannot be compared to data from 2017 or later due to changes in methodology.</t>
  </si>
  <si>
    <t>foodInsecurityRate</t>
  </si>
  <si>
    <t>Mental Health</t>
  </si>
  <si>
    <t>Access to Social Support</t>
  </si>
  <si>
    <t>Lacking Social Support</t>
  </si>
  <si>
    <t>Model-based estimate for crude prevalence of lack of social and emotional support among adults. 5-point Likert: How often do you get the social and emotional support that you need?</t>
  </si>
  <si>
    <t>CDC Division of Population Health, Epidemiology and Surveillance Branch</t>
  </si>
  <si>
    <t>https://data.cdc.gov/500-Cities-Places/PLACES-County-Data-GIS-Friendly-Format-2024-releas/i46a-9kgh/about_data</t>
  </si>
  <si>
    <t>New question in 2024, only 1 year data</t>
  </si>
  <si>
    <t>lackSocialSupport</t>
  </si>
  <si>
    <t>Happiness Index</t>
  </si>
  <si>
    <t>Stress and Anxiety</t>
  </si>
  <si>
    <t>Poor Mental Health Days</t>
  </si>
  <si>
    <t>Average number of mentally unhealthy days reported in past 30 days (age-adjusted).</t>
  </si>
  <si>
    <t>check units, weighting. Consider unit of analysis - farmer or population</t>
  </si>
  <si>
    <t>done unless we want source rather than UW</t>
  </si>
  <si>
    <t>poorMentalHealthDays</t>
  </si>
  <si>
    <t>Physical Health</t>
  </si>
  <si>
    <t>Access to Care</t>
  </si>
  <si>
    <t>Proportion Uninsured</t>
  </si>
  <si>
    <t>Proportion of population under age 65 without health insurance.</t>
  </si>
  <si>
    <t>uninsured</t>
  </si>
  <si>
    <t>Housing Supply and Quality</t>
  </si>
  <si>
    <t>Rental Vacancy Rate</t>
  </si>
  <si>
    <t>Vacancy rate, rentals</t>
  </si>
  <si>
    <t>Housing stock</t>
  </si>
  <si>
    <t>What would target value be?</t>
  </si>
  <si>
    <t>vacancyRate</t>
  </si>
  <si>
    <t>Mobility, Pain</t>
  </si>
  <si>
    <t>Frequent Physical Distress</t>
  </si>
  <si>
    <t>Percentage of adults reporting 14 or more days of poor physical health per month (age-adjusted).</t>
  </si>
  <si>
    <t>check units, weighting</t>
  </si>
  <si>
    <t>frequentPhysicalDistress</t>
  </si>
  <si>
    <t>Mobility Disability</t>
  </si>
  <si>
    <t>Model-based estimate for crude prevalence of mobility disability among adults</t>
  </si>
  <si>
    <t>New question in 2023, only 2 years data</t>
  </si>
  <si>
    <t>mobilityDisability</t>
  </si>
  <si>
    <t>Nutritious Diets</t>
  </si>
  <si>
    <t>Percent Low Daily Fruit Consumption</t>
  </si>
  <si>
    <t>Percent of adults who report consuming fruit less than one time daily</t>
  </si>
  <si>
    <t>CDC Behavioral Risk Factor Surveillance System (2025)</t>
  </si>
  <si>
    <t>https://data.cdc.gov/Nutrition-Physical-Activity-and-Obesity/Nutrition-Physical-Activity-and-Obesity-Behavioral/hn4x-zwk7/about_data</t>
  </si>
  <si>
    <t>percDailyFruitLessThanOne</t>
  </si>
  <si>
    <t>Percent Low Daily Vegetable Consumption</t>
  </si>
  <si>
    <t>Percent of adults who report consuming vegetables less than one time daily</t>
  </si>
  <si>
    <t>percDailyVegLessThanOne</t>
  </si>
  <si>
    <t>Prevalence of Diet-Related Disease</t>
  </si>
  <si>
    <t>Diabetes Prevalence</t>
  </si>
  <si>
    <t>Percentage of adults aged 20 and above with diagnosed diabetes (age-adjusted).</t>
  </si>
  <si>
    <t>done unless source rather than UW, but UW data looks cleaner than source</t>
  </si>
  <si>
    <t>diabetesPrevalence</t>
  </si>
  <si>
    <t>Heart Disease Prevalence</t>
  </si>
  <si>
    <t>Model-based estimate for crude prevalence of coronary heart disease among adults</t>
  </si>
  <si>
    <t>heartDisease</t>
  </si>
  <si>
    <t>Imports vs Exports</t>
  </si>
  <si>
    <t>Total Quantity Exported</t>
  </si>
  <si>
    <t>Value of Total Agricultural Exports</t>
  </si>
  <si>
    <t>Million USD</t>
  </si>
  <si>
    <t>Value (in millions) of total agricultural exports</t>
  </si>
  <si>
    <t>US Department of Agriculture, Economic Research Service, State Agricultural Trade Data, State Exports</t>
  </si>
  <si>
    <t>https://www.ers.usda.gov/data-products/state-agricultural-trade-data/</t>
  </si>
  <si>
    <t>State level only, but not convinced it would be available at county level anywhere else</t>
  </si>
  <si>
    <t>exportsTotalAgricultural</t>
  </si>
  <si>
    <t>Total Quantity Imported</t>
  </si>
  <si>
    <t>Value of Top Five Imports</t>
  </si>
  <si>
    <t>Value (in millions) of imports for top five agricultural commodity groups from outside of the United States.</t>
  </si>
  <si>
    <t>US Department of Agriculture, Economic Research Service, State Agricultural Trade Data, State Trade by Country of Origin and Destination</t>
  </si>
  <si>
    <t>Not ideal - top 5 imports is arbitrary, but that's all I can find</t>
  </si>
  <si>
    <t>importsTopFive</t>
  </si>
  <si>
    <t>Product Quality</t>
  </si>
  <si>
    <t>Certificates of Assurance</t>
  </si>
  <si>
    <t>Target or Practice</t>
  </si>
  <si>
    <t>Proportion of Organic Operations</t>
  </si>
  <si>
    <t>Proportion of organic operations</t>
  </si>
  <si>
    <t>Acres operated, smooth</t>
  </si>
  <si>
    <t>propOpsOrganic</t>
  </si>
  <si>
    <t>Production Diversity</t>
  </si>
  <si>
    <t>Crop Diversity</t>
  </si>
  <si>
    <t>Shannon diversity index on the NASS Cropland Data Layer after non-agricultural acres and double crops have been removed.</t>
  </si>
  <si>
    <t>U.S. Department of Agriculture, National Agricultural Statistics Service, Cropland Data Layer</t>
  </si>
  <si>
    <t>https://www.nass.usda.gov/Research_and_Science/Cropland/SARS1a.php</t>
  </si>
  <si>
    <t>cropDiversity</t>
  </si>
  <si>
    <t>Production Efficiency</t>
  </si>
  <si>
    <t>Inputs</t>
  </si>
  <si>
    <t>Fertilizer Expenses</t>
  </si>
  <si>
    <t>Fertilizer expenses as a percentage of operations expenses</t>
  </si>
  <si>
    <t>fertExpensePercOpExp</t>
  </si>
  <si>
    <t>Technology Adoption</t>
  </si>
  <si>
    <t>Operations Using Precision Agriculture</t>
  </si>
  <si>
    <t>Proportion of operations with precision agriculture</t>
  </si>
  <si>
    <t>Only started collecting data in 2022</t>
  </si>
  <si>
    <t>propOpsPrecision</t>
  </si>
  <si>
    <t>Production Margins</t>
  </si>
  <si>
    <t>Total Quantity Food Products</t>
  </si>
  <si>
    <t>Total Animal and Crop Sales</t>
  </si>
  <si>
    <t>Cash receipts value, total of all animal and crop sales</t>
  </si>
  <si>
    <t>Total sales from commodities</t>
  </si>
  <si>
    <t>how to aggregate without using dollars?</t>
  </si>
  <si>
    <t>salesAnimalAndCrop</t>
  </si>
  <si>
    <t>Total Quantity Forest Products</t>
  </si>
  <si>
    <t>Total Receipts from Forest Products</t>
  </si>
  <si>
    <t>Cash receipts value, forest products, all</t>
  </si>
  <si>
    <t>receiptsAllForestProducts</t>
  </si>
  <si>
    <t>Total Quantity Non-Food Ag Products</t>
  </si>
  <si>
    <t>Value Added Market</t>
  </si>
  <si>
    <t>Sales from Value-Added Products</t>
  </si>
  <si>
    <t>Proportion of sales from produced and value-added products as a proportion of total commodity sales</t>
  </si>
  <si>
    <t>salesValueAddedPropTotal</t>
  </si>
  <si>
    <t>Yield</t>
  </si>
  <si>
    <t>Hay Yield</t>
  </si>
  <si>
    <t>Tons per acre</t>
  </si>
  <si>
    <t>Hay yield measured in tons per acre</t>
  </si>
  <si>
    <t>U.S. Department of Agriculture, National Agricultural Statistical Survey, Survey of Agriculture</t>
  </si>
  <si>
    <t>hayYieldMeasuredInTonsAcre</t>
  </si>
  <si>
    <t>Maple Yield</t>
  </si>
  <si>
    <t>Gallons per tap</t>
  </si>
  <si>
    <t>Maple yield measured in gallons per tap</t>
  </si>
  <si>
    <t>mapleSyrupYieldMeasuredInGallonsTap</t>
  </si>
  <si>
    <t>Milk Yield</t>
  </si>
  <si>
    <t>Pounds per head</t>
  </si>
  <si>
    <t>Milk yield measured in pounds per head</t>
  </si>
  <si>
    <t>yieldMilk</t>
  </si>
  <si>
    <t>Waste and Losses</t>
  </si>
  <si>
    <t>Crop Failure</t>
  </si>
  <si>
    <t>Easy to find proxies like insurance, but can't find anything on physical quantities</t>
  </si>
  <si>
    <t>Community Embeddedness</t>
  </si>
  <si>
    <t>Belonging to Community</t>
  </si>
  <si>
    <t>Collective Action</t>
  </si>
  <si>
    <t>Common Goals</t>
  </si>
  <si>
    <t>Reciprocity</t>
  </si>
  <si>
    <t>Social Connectedness</t>
  </si>
  <si>
    <t>Social Isolation</t>
  </si>
  <si>
    <t>Model-based estimate for crude prevalence of feeling socially isolated among adults. 5-point Likert: How often do you feel socially isolated from others?</t>
  </si>
  <si>
    <t>socialIsolation</t>
  </si>
  <si>
    <t>Tradition/Heritage</t>
  </si>
  <si>
    <t>Trust</t>
  </si>
  <si>
    <t>Food and Farmworker Diversity</t>
  </si>
  <si>
    <t>Producer Age Diversity</t>
  </si>
  <si>
    <t>Producer Age Skew</t>
  </si>
  <si>
    <t>Skew</t>
  </si>
  <si>
    <t>Skewness of distribution of producer age groups</t>
  </si>
  <si>
    <t>Total number of producers</t>
  </si>
  <si>
    <t>derived</t>
  </si>
  <si>
    <t>producerAgeSkew</t>
  </si>
  <si>
    <t>Producer Gender Diversity</t>
  </si>
  <si>
    <t>Ratio of Female to Male Producers</t>
  </si>
  <si>
    <t>Ratio of female to male producers</t>
  </si>
  <si>
    <t>target?</t>
  </si>
  <si>
    <t>ftmProdRatio</t>
  </si>
  <si>
    <t>Producer Racial Diversity</t>
  </si>
  <si>
    <t>Racial Diversity of Producers</t>
  </si>
  <si>
    <t>Shannon index of NASS producer race statistics</t>
  </si>
  <si>
    <t>producerRacialDiversity</t>
  </si>
  <si>
    <t>Producer Sexuality</t>
  </si>
  <si>
    <t>This is probably findable if we're talking about population level sexual orientation, but I presume the indicator is designed for farm level. Also, there's no way there is a good/bad direction here</t>
  </si>
  <si>
    <t>Food System Governance</t>
  </si>
  <si>
    <t>Community Safety</t>
  </si>
  <si>
    <t>Violent Crime Rate</t>
  </si>
  <si>
    <t>Rate per 100,000</t>
  </si>
  <si>
    <t>Number of arrests for violent crimes (assault, robbery, murder) per 100k residents</t>
  </si>
  <si>
    <t>U.S. Federal Bureau of Investigation, Uniform Crime Reporting Program</t>
  </si>
  <si>
    <t>https://www.icpsr.umich.edu/web/ICPSR/search/studies?AUTHOR_FACET=United%20States.%20Federal%20Bureau%20of%20Investigation</t>
  </si>
  <si>
    <t>violentCrimeArrestsPer100k</t>
  </si>
  <si>
    <t>Participatory Governance</t>
  </si>
  <si>
    <t>Voter Turnout</t>
  </si>
  <si>
    <t>Percentage of citizen population aged 18 or older who voted in the last federal election (2-year cycle)</t>
  </si>
  <si>
    <t>2 years</t>
  </si>
  <si>
    <t>voterTurnout</t>
  </si>
  <si>
    <t>Policy, Regulation, Responsiveness</t>
  </si>
  <si>
    <t>Need some specifics here - how is this measured</t>
  </si>
  <si>
    <t>Government Transparency</t>
  </si>
  <si>
    <t>Rural Community Livability</t>
  </si>
  <si>
    <t>Diverse Representation</t>
  </si>
  <si>
    <t>Open Spaces and Natural Beauty</t>
  </si>
  <si>
    <t>Could consider natural capital index, or perhaps LULC proportion undeveloped?</t>
  </si>
  <si>
    <t>could check natural capital index</t>
  </si>
  <si>
    <t>Outmigration</t>
  </si>
  <si>
    <t>Annual Population Change</t>
  </si>
  <si>
    <t>Year over year percentage change in population</t>
  </si>
  <si>
    <t>populationChangePerc</t>
  </si>
  <si>
    <t>Stewardship Participation</t>
  </si>
  <si>
    <t>Conservation Program</t>
  </si>
  <si>
    <t>Acres in Conservation Easements</t>
  </si>
  <si>
    <t>Acres</t>
  </si>
  <si>
    <t>Acres under conservation easements</t>
  </si>
  <si>
    <t>consEasementAcres</t>
  </si>
  <si>
    <t>Farmer Stewardship Ethic</t>
  </si>
  <si>
    <t>Consider conservation practices?</t>
  </si>
  <si>
    <t>Info:</t>
  </si>
  <si>
    <t>This doc contains metrics and selected metadata related to the Frontiers submission.</t>
  </si>
  <si>
    <t xml:space="preserve">It is added into the sm-data repo and then exported to sm-docs where it is used to pull a selection of metrics out of the heap of all data collected. </t>
  </si>
  <si>
    <t>See refined framework page for graphs</t>
  </si>
  <si>
    <t xml:space="preserve">https://fsrc.w3.uvm.edu/sustainability_metrics/pages/refined_framework.html </t>
  </si>
  <si>
    <t>See metadata page for ALL metadata (including lots of metrics we're not really using, but is good for browsing)</t>
  </si>
  <si>
    <t xml:space="preserve">https://fsrc.w3.uvm.edu/sustainability_metrics/pages/metadata_table.html </t>
  </si>
  <si>
    <t>See refined metadata page for metadata related only to what is in the refined framework (i.e. the state data that Chris presented on earlier this year). Metadata here is also more up to date</t>
  </si>
  <si>
    <t xml:space="preserve">https://fsrc.w3.uvm.edu/sustainability_metrics/pages/refined_metadata.html </t>
  </si>
  <si>
    <t>Note that there is a secondary site where there will be super preliminary analyses, testing features, etc</t>
  </si>
  <si>
    <t>https://fsrc.w3.uvm.edu/sustainability_metrics_dev/pages</t>
  </si>
  <si>
    <t>Variables:</t>
  </si>
  <si>
    <t>where we're at with data wrangling</t>
  </si>
  <si>
    <t>dimension:metric</t>
  </si>
  <si>
    <t>levels of framework</t>
  </si>
  <si>
    <t>x for metrics that we will assign a good/bad rating to use in analyses. Others will be observed, but not given a normative valuation</t>
  </si>
  <si>
    <t>What is it measuring? Farm level, sector, population/county/system, other?</t>
  </si>
  <si>
    <t>description</t>
  </si>
  <si>
    <t>explanation of metric if needed. Might include definition, interpretation, transformations</t>
  </si>
  <si>
    <t>condensed and hideous variable name to identify metric in code. Please avoid changing these or adding new names. If we have additions, they should be added in the metadata creation process in sm-data repo.</t>
  </si>
  <si>
    <t xml:space="preserve">finest scale at which data are available. Comes from metadata creation in sm-data repo </t>
  </si>
  <si>
    <t>how often the data are updated. Comes from metadata creation in sm-data repo</t>
  </si>
  <si>
    <t>what the variable should be weighted by so we can measure it across counties. If NA, then no weighting need be applied</t>
  </si>
  <si>
    <t>which direction is more desirable, higher or lower</t>
  </si>
  <si>
    <t>reverse</t>
  </si>
  <si>
    <t>whether variable should be reversed so that higher numbers always mean 'better' across variables. Y = reversed variable, N = leave as is, blank = undecided</t>
  </si>
  <si>
    <t>categorical score of quality. 1 is worst, 2 is okay, 3 is best. NONE means there is no metric. Add any relevant notes to the notes column</t>
  </si>
  <si>
    <t>leads</t>
  </si>
  <si>
    <t>data sources we are aware of, or improvements on what we have to follow up on</t>
  </si>
  <si>
    <t xml:space="preserve">source </t>
  </si>
  <si>
    <t>citation for source. We can procedurally generate 'accessed by' dates where necessary</t>
  </si>
  <si>
    <t>Other notations:</t>
  </si>
  <si>
    <t>utils</t>
  </si>
  <si>
    <t>some variables that are worth including as covariates, or for weighting other variables, like population, GDP, etc. Have to give these unique names in all levels of framework, thus the util_dimension shenanigans. Note that the "use" column should be checked for all NONEs or the indicator will get dropped</t>
  </si>
  <si>
    <t>placeholder for when there is no metric for an indicator. Otherwise the indicator will get lost when making graphs</t>
  </si>
  <si>
    <t>tbd</t>
  </si>
  <si>
    <t>some metrics don't have clear indicators or indexes in the framework, particularly for the unrefined dimensions (health and social). I throw in a tbd to signal this while giving it a unique name. We should probably just go ahead and give these convincing sounding names at this point</t>
  </si>
  <si>
    <t>Other Notes</t>
  </si>
  <si>
    <t>Updates and resolution are best managed procedurally when data is being wrangled. Hard to keep this sheet updated here properly</t>
  </si>
  <si>
    <t>gdp</t>
  </si>
  <si>
    <t>U.S. Bureau of Economic Analysis (2025). CAGDP2 Gross domestic product (GDP) by county and metropolitan area</t>
  </si>
  <si>
    <t>https://www.bea.gov/</t>
  </si>
  <si>
    <t>GDP from Agriculture</t>
  </si>
  <si>
    <t>gdpFromAg</t>
  </si>
  <si>
    <t>Total Number of Producers</t>
  </si>
  <si>
    <t>nProducers</t>
  </si>
  <si>
    <t>Only have data for 2017 and 2022. Better to use producer or operator?</t>
  </si>
  <si>
    <t>Total Number of Operations</t>
  </si>
  <si>
    <t>nOperations</t>
  </si>
  <si>
    <t>Population (Annual)</t>
  </si>
  <si>
    <t>populationAnnual</t>
  </si>
  <si>
    <t>ACS1, for non-census variables</t>
  </si>
  <si>
    <t>U.S. Census Bureau (2025). American Community Survey</t>
  </si>
  <si>
    <t>Population (5 year)</t>
  </si>
  <si>
    <t>population5Year</t>
  </si>
  <si>
    <t>ACS5, for ACS5 variables</t>
  </si>
  <si>
    <t>Population (5 year, Smoothed)</t>
  </si>
  <si>
    <t>population5YearSmooth</t>
  </si>
  <si>
    <t>Acres of Land</t>
  </si>
  <si>
    <t>landAcres</t>
  </si>
  <si>
    <t>NA</t>
  </si>
  <si>
    <t>U.S. Census Bureau, R tigris package</t>
  </si>
  <si>
    <t>Acres of Water</t>
  </si>
  <si>
    <t>waterAcres</t>
  </si>
  <si>
    <t>Area Under Agriculture</t>
  </si>
  <si>
    <t>cdlAgAcres</t>
  </si>
  <si>
    <t>Cropland Data Layer CDL has its own - use this for diversity. Probably want NASS data for most NASS statistics though</t>
  </si>
  <si>
    <t>USDA Cropland Data Layer</t>
  </si>
  <si>
    <t>Number Employed in Agriculture</t>
  </si>
  <si>
    <t>annualAvgEmplvlNAICS11</t>
  </si>
  <si>
    <t>From BLS, NAICS 11</t>
  </si>
  <si>
    <t>U.S. Bureau of Labor Statistics, Quarterly Census of Employment and Wages (2023)</t>
  </si>
  <si>
    <t>Acres Operated</t>
  </si>
  <si>
    <t>acresOperated</t>
  </si>
  <si>
    <t>Not sure whether to use acres operated or sum the 3 types of ag land. Should check difference</t>
  </si>
  <si>
    <t>Acres Operated, Smoothed</t>
  </si>
  <si>
    <t>acresOperatedSmooth</t>
  </si>
  <si>
    <t>Acres of Cropland</t>
  </si>
  <si>
    <t>agLandCropAcres</t>
  </si>
  <si>
    <t>Acres of Woodland</t>
  </si>
  <si>
    <t>agLandWoodAcres</t>
  </si>
  <si>
    <t>Acres of Pasture</t>
  </si>
  <si>
    <t>agLandPastureAcres</t>
  </si>
  <si>
    <t>Total Farm Income</t>
  </si>
  <si>
    <t>totalFarmIncome</t>
  </si>
  <si>
    <t>Total Sales From Commodities</t>
  </si>
  <si>
    <t>totalSalesCommodities</t>
  </si>
  <si>
    <t>Proportion of Forest</t>
  </si>
  <si>
    <t>propForest</t>
  </si>
  <si>
    <t>multiple this by acres of land to get acres of forest</t>
  </si>
  <si>
    <t>Consumer Price Index - All Items</t>
  </si>
  <si>
    <t>cpiAllItems</t>
  </si>
  <si>
    <t>stall</t>
  </si>
  <si>
    <t>Housing Stock</t>
  </si>
  <si>
    <t>For median housing age - see if we will use it</t>
  </si>
  <si>
    <t>ACS1/ACS5</t>
  </si>
  <si>
    <t>Only for SFA metrics. Probably dropping them?</t>
  </si>
  <si>
    <t>Farm to School Survey</t>
  </si>
  <si>
    <t>https://www.ers.usda.gov/data-products/farm-income-and-wealth-statistics/data-files-us-and-state-level-farm-income-and-wealth-statistics</t>
  </si>
  <si>
    <t>survey</t>
  </si>
  <si>
    <t xml:space="preserve">                                    </t>
  </si>
  <si>
    <t>Consider farm to school program? Time preparing food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</si>
</sst>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u/>
      <sz val="11"/>
      <color theme="10"/>
      <name val="Calibri"/>
      <family val="2"/>
      <scheme val="minor"/>
    </font>
    <font>
      <sz val="11"/>
      <color rgb="FFFF0000"/>
      <name val="Calibri"/>
      <family val="2"/>
      <scheme val="minor"/>
    </font>
    <font>
      <b/>
      <sz val="11"/>
      <color rgb="FF000000"/>
      <name val="Calibri"/>
      <family val="2"/>
      <scheme val="minor"/>
    </font>
    <font>
      <sz val="11"/>
      <color rgb="FF000000"/>
      <name val="Calibri"/>
      <family val="2"/>
      <scheme val="minor"/>
    </font>
    <font>
      <sz val="11"/>
      <color theme="9"/>
      <name val="Calibri"/>
      <family val="2"/>
      <scheme val="minor"/>
    </font>
    <font>
      <sz val="11"/>
      <name val="Calibri"/>
      <family val="2"/>
      <scheme val="minor"/>
    </font>
  </fonts>
  <fills count="15">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theme="5" tint="0.79998168889431442"/>
        <bgColor indexed="64"/>
      </patternFill>
    </fill>
    <fill>
      <patternFill patternType="solid">
        <fgColor rgb="FFD9D9D9"/>
        <bgColor rgb="FF000000"/>
      </patternFill>
    </fill>
    <fill>
      <patternFill patternType="solid">
        <fgColor rgb="FFFDE9D9"/>
        <bgColor rgb="FF000000"/>
      </patternFill>
    </fill>
    <fill>
      <patternFill patternType="solid">
        <fgColor rgb="FFEBF1DE"/>
        <bgColor rgb="FF000000"/>
      </patternFill>
    </fill>
    <fill>
      <patternFill patternType="solid">
        <fgColor rgb="FFF2DCDB"/>
        <bgColor rgb="FF000000"/>
      </patternFill>
    </fill>
    <fill>
      <patternFill patternType="solid">
        <fgColor rgb="FFE6B8B7"/>
        <bgColor rgb="FF000000"/>
      </patternFill>
    </fill>
    <fill>
      <patternFill patternType="solid">
        <fgColor theme="0"/>
        <bgColor indexed="64"/>
      </patternFill>
    </fill>
    <fill>
      <patternFill patternType="solid">
        <fgColor theme="5" tint="0.79998168889431442"/>
        <bgColor rgb="FF000000"/>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74">
    <xf numFmtId="0" fontId="0" fillId="0" borderId="0" xfId="0"/>
    <xf numFmtId="0" fontId="1" fillId="0" borderId="0" xfId="0" applyFont="1" applyAlignment="1">
      <alignment horizontal="left"/>
    </xf>
    <xf numFmtId="0" fontId="0" fillId="0" borderId="0" xfId="0" applyAlignment="1">
      <alignment wrapText="1"/>
    </xf>
    <xf numFmtId="0" fontId="1" fillId="0" borderId="0" xfId="0" applyFont="1"/>
    <xf numFmtId="0" fontId="1" fillId="0" borderId="0" xfId="0" applyFont="1" applyAlignment="1">
      <alignment wrapText="1"/>
    </xf>
    <xf numFmtId="0" fontId="1" fillId="2" borderId="7" xfId="0" applyFont="1" applyFill="1" applyBorder="1" applyAlignment="1">
      <alignment wrapText="1"/>
    </xf>
    <xf numFmtId="0" fontId="0" fillId="2" borderId="8" xfId="0" applyFill="1" applyBorder="1" applyAlignment="1">
      <alignment wrapText="1"/>
    </xf>
    <xf numFmtId="0" fontId="0" fillId="2" borderId="10" xfId="0" applyFill="1" applyBorder="1" applyAlignment="1">
      <alignment wrapText="1"/>
    </xf>
    <xf numFmtId="0" fontId="0" fillId="2" borderId="12" xfId="0" applyFill="1" applyBorder="1" applyAlignment="1">
      <alignment wrapText="1"/>
    </xf>
    <xf numFmtId="0" fontId="1" fillId="2" borderId="9" xfId="0" applyFont="1" applyFill="1" applyBorder="1" applyAlignment="1">
      <alignment wrapText="1"/>
    </xf>
    <xf numFmtId="0" fontId="1" fillId="2" borderId="11" xfId="0" applyFont="1" applyFill="1" applyBorder="1" applyAlignment="1">
      <alignment wrapText="1"/>
    </xf>
    <xf numFmtId="0" fontId="1" fillId="3" borderId="7" xfId="0" applyFont="1" applyFill="1" applyBorder="1" applyAlignment="1">
      <alignment wrapText="1"/>
    </xf>
    <xf numFmtId="0" fontId="0" fillId="3" borderId="8" xfId="0" applyFill="1" applyBorder="1" applyAlignment="1">
      <alignment wrapText="1"/>
    </xf>
    <xf numFmtId="0" fontId="1" fillId="3" borderId="9" xfId="0" applyFont="1" applyFill="1" applyBorder="1" applyAlignment="1">
      <alignment wrapText="1"/>
    </xf>
    <xf numFmtId="0" fontId="0" fillId="3" borderId="10" xfId="0" applyFill="1" applyBorder="1" applyAlignment="1">
      <alignment wrapText="1"/>
    </xf>
    <xf numFmtId="0" fontId="1" fillId="3" borderId="11" xfId="0" applyFont="1" applyFill="1" applyBorder="1" applyAlignment="1">
      <alignment wrapText="1"/>
    </xf>
    <xf numFmtId="0" fontId="0" fillId="3" borderId="12" xfId="0" applyFill="1" applyBorder="1" applyAlignment="1">
      <alignment wrapText="1"/>
    </xf>
    <xf numFmtId="0" fontId="1" fillId="5" borderId="0" xfId="0" applyFont="1" applyFill="1" applyAlignment="1">
      <alignment horizontal="left"/>
    </xf>
    <xf numFmtId="0" fontId="2" fillId="0" borderId="0" xfId="1"/>
    <xf numFmtId="0" fontId="0" fillId="6" borderId="0" xfId="0" applyFill="1"/>
    <xf numFmtId="0" fontId="0" fillId="7" borderId="0" xfId="0" applyFill="1"/>
    <xf numFmtId="0" fontId="4" fillId="8" borderId="0" xfId="0" applyFont="1" applyFill="1" applyAlignment="1">
      <alignment horizontal="left"/>
    </xf>
    <xf numFmtId="0" fontId="5" fillId="0" borderId="0" xfId="0" applyFont="1"/>
    <xf numFmtId="0" fontId="5" fillId="9" borderId="0" xfId="0" applyFont="1" applyFill="1"/>
    <xf numFmtId="0" fontId="5" fillId="10" borderId="0" xfId="0" applyFont="1" applyFill="1"/>
    <xf numFmtId="0" fontId="5" fillId="11" borderId="0" xfId="0" applyFont="1" applyFill="1"/>
    <xf numFmtId="0" fontId="5" fillId="12" borderId="0" xfId="0" applyFont="1" applyFill="1"/>
    <xf numFmtId="0" fontId="4" fillId="8" borderId="0" xfId="0" applyFont="1" applyFill="1" applyAlignment="1">
      <alignment horizontal="center" vertical="center"/>
    </xf>
    <xf numFmtId="0" fontId="5" fillId="0" borderId="0" xfId="0" applyFont="1" applyAlignment="1">
      <alignment horizontal="center" vertical="center"/>
    </xf>
    <xf numFmtId="0" fontId="0" fillId="0" borderId="0" xfId="0" applyAlignment="1">
      <alignment horizontal="center" vertical="center"/>
    </xf>
    <xf numFmtId="0" fontId="5" fillId="13" borderId="0" xfId="0" applyFont="1" applyFill="1"/>
    <xf numFmtId="0" fontId="0" fillId="13" borderId="0" xfId="0" applyFill="1"/>
    <xf numFmtId="0" fontId="4" fillId="5" borderId="0" xfId="0" applyFont="1" applyFill="1" applyAlignment="1">
      <alignment horizontal="left"/>
    </xf>
    <xf numFmtId="0" fontId="3" fillId="7" borderId="0" xfId="0" applyFont="1" applyFill="1"/>
    <xf numFmtId="0" fontId="5" fillId="7" borderId="0" xfId="0" applyFont="1" applyFill="1"/>
    <xf numFmtId="0" fontId="5" fillId="7" borderId="0" xfId="0" applyFont="1" applyFill="1" applyAlignment="1">
      <alignment horizontal="center" vertical="center"/>
    </xf>
    <xf numFmtId="0" fontId="1" fillId="5" borderId="0" xfId="0" applyFont="1" applyFill="1" applyAlignment="1">
      <alignment horizontal="center" vertical="center"/>
    </xf>
    <xf numFmtId="0" fontId="0" fillId="7" borderId="0" xfId="0" applyFill="1" applyAlignment="1">
      <alignment horizontal="center" vertical="center"/>
    </xf>
    <xf numFmtId="0" fontId="5" fillId="0" borderId="0" xfId="0" applyFont="1" applyAlignment="1">
      <alignment horizontal="center"/>
    </xf>
    <xf numFmtId="0" fontId="5" fillId="7" borderId="0" xfId="0" applyFont="1" applyFill="1" applyAlignment="1">
      <alignment horizontal="center"/>
    </xf>
    <xf numFmtId="0" fontId="5" fillId="14" borderId="0" xfId="0" applyFont="1" applyFill="1"/>
    <xf numFmtId="0" fontId="4" fillId="8" borderId="0" xfId="0" applyFont="1" applyFill="1" applyAlignment="1">
      <alignment horizontal="left" vertical="center"/>
    </xf>
    <xf numFmtId="0" fontId="0" fillId="0" borderId="0" xfId="0" applyAlignment="1">
      <alignment vertical="center"/>
    </xf>
    <xf numFmtId="0" fontId="0" fillId="0" borderId="0" xfId="0" quotePrefix="1"/>
    <xf numFmtId="0" fontId="5" fillId="7" borderId="0" xfId="0" applyFont="1" applyFill="1" applyAlignment="1">
      <alignment horizontal="left" vertical="center"/>
    </xf>
    <xf numFmtId="18" fontId="5" fillId="7" borderId="0" xfId="0" applyNumberFormat="1" applyFont="1" applyFill="1"/>
    <xf numFmtId="0" fontId="2" fillId="0" borderId="0" xfId="1" applyFill="1"/>
    <xf numFmtId="0" fontId="5" fillId="0" borderId="0" xfId="0" applyFont="1" applyAlignment="1">
      <alignment horizontal="center" wrapText="1"/>
    </xf>
    <xf numFmtId="0" fontId="6" fillId="0" borderId="0" xfId="0" applyFont="1"/>
    <xf numFmtId="0" fontId="7" fillId="0" borderId="0" xfId="0" applyFont="1"/>
    <xf numFmtId="0" fontId="0" fillId="0" borderId="0" xfId="0" applyAlignment="1">
      <alignment horizontal="center"/>
    </xf>
    <xf numFmtId="0" fontId="5" fillId="0" borderId="0" xfId="0" applyFont="1" applyAlignment="1">
      <alignment horizontal="left"/>
    </xf>
    <xf numFmtId="0" fontId="5" fillId="0" borderId="0" xfId="0" applyFont="1" applyAlignment="1">
      <alignment horizontal="center" vertical="center" wrapText="1"/>
    </xf>
    <xf numFmtId="0" fontId="4" fillId="8" borderId="0" xfId="0" applyFont="1" applyFill="1" applyAlignment="1">
      <alignment horizontal="center"/>
    </xf>
    <xf numFmtId="0" fontId="4" fillId="8" borderId="0" xfId="0" applyFont="1" applyFill="1"/>
    <xf numFmtId="0" fontId="5" fillId="0" borderId="0" xfId="0" applyFont="1" applyAlignment="1">
      <alignment horizontal="left" vertical="center"/>
    </xf>
    <xf numFmtId="0" fontId="7" fillId="7" borderId="0" xfId="0" applyFont="1" applyFill="1"/>
    <xf numFmtId="0" fontId="7" fillId="0" borderId="0" xfId="0" applyFont="1" applyAlignment="1">
      <alignment horizontal="left" vertical="center"/>
    </xf>
    <xf numFmtId="0" fontId="1" fillId="5" borderId="0" xfId="0" applyFont="1" applyFill="1" applyAlignment="1">
      <alignment horizontal="left"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0" fillId="0" borderId="0" xfId="0" applyAlignment="1">
      <alignment horizontal="center" vertical="center"/>
    </xf>
    <xf numFmtId="0" fontId="2" fillId="4" borderId="3" xfId="1" applyFill="1" applyBorder="1" applyAlignment="1"/>
    <xf numFmtId="0" fontId="2" fillId="4" borderId="4" xfId="1" applyFill="1" applyBorder="1" applyAlignment="1"/>
    <xf numFmtId="0" fontId="0" fillId="4" borderId="1" xfId="0" applyFill="1" applyBorder="1" applyAlignment="1">
      <alignment horizontal="left"/>
    </xf>
    <xf numFmtId="0" fontId="0" fillId="4" borderId="2" xfId="0" applyFill="1" applyBorder="1" applyAlignment="1">
      <alignment horizontal="left"/>
    </xf>
    <xf numFmtId="0" fontId="0" fillId="4" borderId="3" xfId="0" applyFill="1" applyBorder="1"/>
    <xf numFmtId="0" fontId="0" fillId="4" borderId="4" xfId="0" applyFill="1" applyBorder="1"/>
    <xf numFmtId="0" fontId="2" fillId="4" borderId="5" xfId="1" applyFill="1" applyBorder="1" applyAlignment="1"/>
    <xf numFmtId="0" fontId="2" fillId="4" borderId="6" xfId="1" applyFill="1" applyBorder="1" applyAlignment="1"/>
    <xf numFmtId="0" fontId="0" fillId="4" borderId="3" xfId="0" applyFill="1" applyBorder="1" applyAlignment="1">
      <alignment horizontal="left" wrapText="1"/>
    </xf>
    <xf numFmtId="0" fontId="0" fillId="4" borderId="4" xfId="0" applyFill="1" applyBorder="1" applyAlignment="1">
      <alignment horizontal="left" wrapText="1"/>
    </xf>
    <xf numFmtId="0" fontId="2" fillId="4" borderId="0" xfId="1" applyFill="1" applyBorder="1" applyAlignment="1"/>
    <xf numFmtId="0" fontId="0" fillId="4" borderId="0" xfId="0" applyFill="1"/>
  </cellXfs>
  <cellStyles count="2">
    <cellStyle name="Hyperlink" xfId="1" builtinId="8"/>
    <cellStyle name="Normal" xfId="0" builtinId="0"/>
  </cellStyles>
  <dxfs count="27">
    <dxf>
      <fill>
        <patternFill>
          <bgColor theme="5" tint="0.59996337778862885"/>
        </patternFill>
      </fill>
    </dxf>
    <dxf>
      <fill>
        <patternFill>
          <bgColor theme="9" tint="0.79998168889431442"/>
        </patternFill>
      </fill>
    </dxf>
    <dxf>
      <fill>
        <patternFill>
          <bgColor theme="6" tint="0.79998168889431442"/>
        </patternFill>
      </fill>
    </dxf>
    <dxf>
      <fill>
        <patternFill>
          <bgColor theme="5" tint="0.79998168889431442"/>
        </patternFill>
      </fill>
    </dxf>
    <dxf>
      <fill>
        <patternFill>
          <bgColor theme="7" tint="0.79998168889431442"/>
        </patternFill>
      </fill>
    </dxf>
    <dxf>
      <fill>
        <patternFill>
          <bgColor theme="6" tint="0.79998168889431442"/>
        </patternFill>
      </fill>
    </dxf>
    <dxf>
      <fill>
        <patternFill>
          <bgColor theme="0" tint="-0.14996795556505021"/>
        </patternFill>
      </fill>
    </dxf>
    <dxf>
      <fill>
        <patternFill>
          <bgColor theme="9" tint="0.79998168889431442"/>
        </patternFill>
      </fill>
    </dxf>
    <dxf>
      <fill>
        <patternFill>
          <bgColor theme="8"/>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9" tint="0.79998168889431442"/>
        </patternFill>
      </fill>
    </dxf>
    <dxf>
      <fill>
        <patternFill>
          <bgColor theme="6" tint="0.79998168889431442"/>
        </patternFill>
      </fill>
    </dxf>
    <dxf>
      <fill>
        <patternFill>
          <bgColor theme="7" tint="0.79998168889431442"/>
        </patternFill>
      </fill>
    </dxf>
    <dxf>
      <fill>
        <patternFill>
          <bgColor theme="6" tint="0.79998168889431442"/>
        </patternFill>
      </fill>
    </dxf>
    <dxf>
      <fill>
        <patternFill>
          <bgColor theme="0" tint="-0.14996795556505021"/>
        </patternFill>
      </fill>
    </dxf>
    <dxf>
      <fill>
        <patternFill>
          <bgColor theme="9" tint="0.79998168889431442"/>
        </patternFill>
      </fill>
    </dxf>
    <dxf>
      <fill>
        <patternFill>
          <bgColor theme="8"/>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fsrc.w3.uvm.edu/sustainability_metrics_dev/pages" TargetMode="External"/><Relationship Id="rId2" Type="http://schemas.openxmlformats.org/officeDocument/2006/relationships/hyperlink" Target="https://fsrc.w3.uvm.edu/sustainability_metrics/pages/refined_framework.html" TargetMode="External"/><Relationship Id="rId1" Type="http://schemas.openxmlformats.org/officeDocument/2006/relationships/hyperlink" Target="https://fsrc.w3.uvm.edu/sustainability_metrics/pages/metadata_table.html" TargetMode="External"/><Relationship Id="rId4" Type="http://schemas.openxmlformats.org/officeDocument/2006/relationships/hyperlink" Target="https://fsrc.w3.uvm.edu/sustainability_metrics/pages/refined_metadata.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1AE80-3BFB-3B41-8518-A67336181549}">
  <dimension ref="A1:S23"/>
  <sheetViews>
    <sheetView zoomScale="130" zoomScaleNormal="130" workbookViewId="0">
      <selection activeCell="G18" sqref="G18"/>
    </sheetView>
  </sheetViews>
  <sheetFormatPr defaultRowHeight="14.4" x14ac:dyDescent="0.3"/>
  <cols>
    <col min="2" max="2" width="22" style="42" customWidth="1"/>
    <col min="3" max="3" width="32.33203125" style="42" customWidth="1"/>
    <col min="4" max="4" width="31.44140625" style="42" customWidth="1"/>
    <col min="5" max="6" width="8.109375" style="42" customWidth="1"/>
    <col min="7" max="7" width="31" customWidth="1"/>
    <col min="8" max="8" width="11.5546875" customWidth="1"/>
    <col min="9" max="9" width="13.88671875" customWidth="1"/>
    <col min="10" max="10" width="31.33203125" customWidth="1"/>
    <col min="11" max="11" width="14.5546875" customWidth="1"/>
    <col min="13" max="13" width="22.33203125" customWidth="1"/>
    <col min="14" max="14" width="22.6640625" customWidth="1"/>
    <col min="15" max="15" width="17.109375" customWidth="1"/>
    <col min="16" max="16" width="10" customWidth="1"/>
    <col min="17" max="17" width="32.33203125" customWidth="1"/>
    <col min="18" max="18" width="14.6640625" customWidth="1"/>
    <col min="19" max="19" width="36.33203125" customWidth="1"/>
  </cols>
  <sheetData>
    <row r="1" spans="1:19" x14ac:dyDescent="0.3">
      <c r="A1" s="21" t="s">
        <v>0</v>
      </c>
      <c r="B1" s="41" t="s">
        <v>1</v>
      </c>
      <c r="C1" s="41" t="s">
        <v>2</v>
      </c>
      <c r="D1" s="41" t="s">
        <v>3</v>
      </c>
      <c r="E1" s="41" t="s">
        <v>4</v>
      </c>
      <c r="F1" s="41" t="s">
        <v>5</v>
      </c>
      <c r="G1" s="21" t="s">
        <v>6</v>
      </c>
      <c r="H1" s="21" t="s">
        <v>7</v>
      </c>
      <c r="I1" s="21" t="s">
        <v>8</v>
      </c>
      <c r="J1" s="21" t="s">
        <v>9</v>
      </c>
      <c r="K1" s="21" t="s">
        <v>10</v>
      </c>
      <c r="L1" s="21" t="s">
        <v>11</v>
      </c>
      <c r="M1" s="21" t="s">
        <v>12</v>
      </c>
      <c r="N1" s="21" t="s">
        <v>13</v>
      </c>
      <c r="O1" s="21" t="s">
        <v>14</v>
      </c>
      <c r="P1" s="21" t="s">
        <v>15</v>
      </c>
      <c r="Q1" s="21" t="s">
        <v>16</v>
      </c>
      <c r="R1" s="21" t="s">
        <v>17</v>
      </c>
      <c r="S1" s="21" t="s">
        <v>18</v>
      </c>
    </row>
    <row r="2" spans="1:19" x14ac:dyDescent="0.3">
      <c r="A2" s="23">
        <v>2</v>
      </c>
      <c r="B2" s="60" t="s">
        <v>19</v>
      </c>
      <c r="C2" s="28" t="s">
        <v>20</v>
      </c>
      <c r="D2" s="28" t="s">
        <v>21</v>
      </c>
      <c r="E2" s="28" t="s">
        <v>22</v>
      </c>
      <c r="F2" s="28" t="s">
        <v>22</v>
      </c>
      <c r="G2" s="22" t="s">
        <v>23</v>
      </c>
      <c r="H2" s="22" t="s">
        <v>24</v>
      </c>
      <c r="I2" s="22" t="s">
        <v>25</v>
      </c>
      <c r="J2" s="22" t="s">
        <v>26</v>
      </c>
      <c r="K2" s="22" t="s">
        <v>27</v>
      </c>
      <c r="L2" s="22" t="s">
        <v>28</v>
      </c>
      <c r="M2" t="s">
        <v>29</v>
      </c>
      <c r="N2" s="22" t="s">
        <v>30</v>
      </c>
      <c r="O2" s="22" t="s">
        <v>31</v>
      </c>
      <c r="P2" s="22" t="s">
        <v>32</v>
      </c>
      <c r="Q2" s="22"/>
      <c r="R2" s="22" t="s">
        <v>33</v>
      </c>
      <c r="S2" s="22" t="s">
        <v>34</v>
      </c>
    </row>
    <row r="3" spans="1:19" x14ac:dyDescent="0.3">
      <c r="A3" s="24">
        <v>3</v>
      </c>
      <c r="B3" s="60"/>
      <c r="C3" s="28" t="s">
        <v>35</v>
      </c>
      <c r="D3" s="28" t="s">
        <v>36</v>
      </c>
      <c r="E3" s="28" t="s">
        <v>22</v>
      </c>
      <c r="F3" s="28" t="s">
        <v>22</v>
      </c>
      <c r="G3" s="22" t="s">
        <v>37</v>
      </c>
      <c r="H3" s="22" t="s">
        <v>38</v>
      </c>
      <c r="I3" s="22" t="s">
        <v>25</v>
      </c>
      <c r="J3" s="22" t="s">
        <v>39</v>
      </c>
      <c r="K3" s="22" t="s">
        <v>27</v>
      </c>
      <c r="L3" s="22" t="s">
        <v>40</v>
      </c>
      <c r="M3" s="22" t="s">
        <v>41</v>
      </c>
      <c r="N3" s="22" t="s">
        <v>30</v>
      </c>
      <c r="O3" s="22" t="s">
        <v>42</v>
      </c>
      <c r="P3" s="22" t="s">
        <v>43</v>
      </c>
      <c r="Q3" s="22"/>
      <c r="R3" s="22" t="s">
        <v>33</v>
      </c>
      <c r="S3" s="22" t="s">
        <v>44</v>
      </c>
    </row>
    <row r="4" spans="1:19" x14ac:dyDescent="0.3">
      <c r="A4" s="33" t="s">
        <v>45</v>
      </c>
      <c r="B4" s="60"/>
      <c r="C4" s="35" t="s">
        <v>46</v>
      </c>
      <c r="D4" s="35" t="s">
        <v>47</v>
      </c>
      <c r="E4" s="35" t="s">
        <v>48</v>
      </c>
      <c r="F4" s="35" t="s">
        <v>48</v>
      </c>
      <c r="G4" s="40" t="s">
        <v>45</v>
      </c>
      <c r="H4" s="40"/>
      <c r="I4" s="40"/>
      <c r="J4" s="40"/>
      <c r="K4" s="34"/>
      <c r="L4" s="34"/>
      <c r="M4" s="34"/>
      <c r="N4" s="34"/>
      <c r="O4" s="20"/>
      <c r="P4" s="34"/>
      <c r="Q4" s="20" t="s">
        <v>49</v>
      </c>
      <c r="R4" s="20"/>
      <c r="S4" s="34" t="s">
        <v>45</v>
      </c>
    </row>
    <row r="5" spans="1:19" x14ac:dyDescent="0.3">
      <c r="A5" s="24">
        <v>3</v>
      </c>
      <c r="B5" s="60"/>
      <c r="C5" s="35" t="s">
        <v>50</v>
      </c>
      <c r="D5" s="35" t="s">
        <v>47</v>
      </c>
      <c r="E5" s="35" t="s">
        <v>22</v>
      </c>
      <c r="F5" s="35"/>
      <c r="G5" s="34" t="s">
        <v>45</v>
      </c>
      <c r="H5" s="34"/>
      <c r="I5" s="34"/>
      <c r="J5" s="34"/>
      <c r="K5" s="34"/>
      <c r="L5" s="45"/>
      <c r="M5" s="34"/>
      <c r="N5" s="34"/>
      <c r="O5" s="34"/>
      <c r="P5" s="34"/>
      <c r="Q5" s="34" t="s">
        <v>51</v>
      </c>
      <c r="R5" s="34"/>
      <c r="S5" s="34" t="s">
        <v>45</v>
      </c>
    </row>
    <row r="6" spans="1:19" x14ac:dyDescent="0.3">
      <c r="A6" s="33" t="s">
        <v>45</v>
      </c>
      <c r="B6" s="60"/>
      <c r="C6" s="35" t="s">
        <v>52</v>
      </c>
      <c r="D6" s="35"/>
      <c r="E6" s="35" t="s">
        <v>22</v>
      </c>
      <c r="F6" s="35"/>
      <c r="G6" s="40" t="s">
        <v>45</v>
      </c>
      <c r="H6" s="40"/>
      <c r="I6" s="40"/>
      <c r="J6" s="40"/>
      <c r="K6" s="34"/>
      <c r="L6" s="34"/>
      <c r="M6" s="34"/>
      <c r="N6" s="34"/>
      <c r="O6" s="34"/>
      <c r="P6" s="34"/>
      <c r="Q6" s="34" t="s">
        <v>53</v>
      </c>
      <c r="R6" s="34"/>
      <c r="S6" s="34" t="s">
        <v>45</v>
      </c>
    </row>
    <row r="7" spans="1:19" x14ac:dyDescent="0.3">
      <c r="A7" s="24">
        <v>3</v>
      </c>
      <c r="B7" s="60"/>
      <c r="C7" s="52" t="s">
        <v>54</v>
      </c>
      <c r="D7" s="59" t="s">
        <v>21</v>
      </c>
      <c r="E7" s="52" t="s">
        <v>22</v>
      </c>
      <c r="F7" s="52" t="s">
        <v>22</v>
      </c>
      <c r="G7" s="22" t="s">
        <v>55</v>
      </c>
      <c r="H7" s="22" t="s">
        <v>56</v>
      </c>
      <c r="I7" s="22" t="s">
        <v>57</v>
      </c>
      <c r="J7" s="22" t="s">
        <v>58</v>
      </c>
      <c r="K7" s="22" t="s">
        <v>27</v>
      </c>
      <c r="L7" s="22" t="s">
        <v>40</v>
      </c>
      <c r="M7" s="22" t="s">
        <v>59</v>
      </c>
      <c r="N7" s="22" t="s">
        <v>30</v>
      </c>
      <c r="O7" s="22" t="s">
        <v>42</v>
      </c>
      <c r="P7" s="22" t="s">
        <v>43</v>
      </c>
      <c r="Q7" s="22"/>
      <c r="R7" s="22" t="s">
        <v>33</v>
      </c>
      <c r="S7" s="22" t="s">
        <v>60</v>
      </c>
    </row>
    <row r="8" spans="1:19" x14ac:dyDescent="0.3">
      <c r="A8" s="24">
        <v>3</v>
      </c>
      <c r="B8" s="60"/>
      <c r="C8" s="52" t="s">
        <v>54</v>
      </c>
      <c r="D8" s="59"/>
      <c r="E8" s="52" t="s">
        <v>22</v>
      </c>
      <c r="F8" s="52" t="s">
        <v>22</v>
      </c>
      <c r="G8" s="22" t="s">
        <v>61</v>
      </c>
      <c r="H8" s="22" t="s">
        <v>62</v>
      </c>
      <c r="I8" s="22" t="s">
        <v>63</v>
      </c>
      <c r="J8" t="s">
        <v>64</v>
      </c>
      <c r="K8" s="22" t="s">
        <v>27</v>
      </c>
      <c r="L8" s="22" t="s">
        <v>28</v>
      </c>
      <c r="M8" s="22" t="s">
        <v>65</v>
      </c>
      <c r="N8" s="22" t="s">
        <v>66</v>
      </c>
      <c r="O8" s="22" t="s">
        <v>67</v>
      </c>
      <c r="P8" s="22" t="s">
        <v>68</v>
      </c>
      <c r="Q8" s="22" t="s">
        <v>69</v>
      </c>
      <c r="R8" s="22" t="s">
        <v>33</v>
      </c>
      <c r="S8" s="22" t="s">
        <v>70</v>
      </c>
    </row>
    <row r="9" spans="1:19" x14ac:dyDescent="0.3">
      <c r="A9" s="23">
        <v>2</v>
      </c>
      <c r="B9" s="60"/>
      <c r="C9" s="28" t="s">
        <v>71</v>
      </c>
      <c r="D9" s="28"/>
      <c r="E9" s="28" t="s">
        <v>22</v>
      </c>
      <c r="F9" s="28" t="s">
        <v>22</v>
      </c>
      <c r="G9" s="22" t="s">
        <v>72</v>
      </c>
      <c r="H9" s="22" t="s">
        <v>62</v>
      </c>
      <c r="I9" s="22" t="s">
        <v>63</v>
      </c>
      <c r="J9" s="22" t="s">
        <v>73</v>
      </c>
      <c r="K9" s="22" t="s">
        <v>74</v>
      </c>
      <c r="L9" s="22" t="s">
        <v>75</v>
      </c>
      <c r="M9" s="22" t="s">
        <v>41</v>
      </c>
      <c r="N9" s="22"/>
      <c r="O9" s="22" t="s">
        <v>76</v>
      </c>
      <c r="P9" s="22" t="s">
        <v>77</v>
      </c>
      <c r="Q9" s="22" t="s">
        <v>78</v>
      </c>
      <c r="R9" s="22" t="s">
        <v>79</v>
      </c>
      <c r="S9" s="22" t="s">
        <v>80</v>
      </c>
    </row>
    <row r="10" spans="1:19" x14ac:dyDescent="0.3">
      <c r="A10" s="24">
        <v>3</v>
      </c>
      <c r="B10" s="60" t="s">
        <v>81</v>
      </c>
      <c r="C10" s="28" t="s">
        <v>82</v>
      </c>
      <c r="D10" s="28" t="s">
        <v>83</v>
      </c>
      <c r="E10" s="28" t="s">
        <v>22</v>
      </c>
      <c r="F10" s="28" t="s">
        <v>22</v>
      </c>
      <c r="G10" s="22" t="s">
        <v>84</v>
      </c>
      <c r="H10" s="22" t="s">
        <v>24</v>
      </c>
      <c r="I10" s="22" t="s">
        <v>25</v>
      </c>
      <c r="J10" s="22" t="s">
        <v>85</v>
      </c>
      <c r="K10" s="22" t="s">
        <v>27</v>
      </c>
      <c r="L10" s="22" t="s">
        <v>40</v>
      </c>
      <c r="M10" t="s">
        <v>29</v>
      </c>
      <c r="N10" s="22" t="s">
        <v>66</v>
      </c>
      <c r="O10" s="22" t="s">
        <v>86</v>
      </c>
      <c r="P10" s="22" t="s">
        <v>87</v>
      </c>
      <c r="Q10" s="22"/>
      <c r="R10" s="22" t="s">
        <v>33</v>
      </c>
      <c r="S10" s="22" t="s">
        <v>88</v>
      </c>
    </row>
    <row r="11" spans="1:19" x14ac:dyDescent="0.3">
      <c r="A11" s="24">
        <v>3</v>
      </c>
      <c r="B11" s="60"/>
      <c r="C11" s="28" t="s">
        <v>89</v>
      </c>
      <c r="D11" s="59" t="s">
        <v>36</v>
      </c>
      <c r="E11" s="28" t="s">
        <v>48</v>
      </c>
      <c r="F11" s="28" t="s">
        <v>48</v>
      </c>
      <c r="G11" s="22" t="s">
        <v>90</v>
      </c>
      <c r="H11" s="22" t="s">
        <v>56</v>
      </c>
      <c r="I11" s="22" t="s">
        <v>25</v>
      </c>
      <c r="J11" t="s">
        <v>91</v>
      </c>
      <c r="K11" s="22" t="s">
        <v>27</v>
      </c>
      <c r="L11" s="22" t="s">
        <v>28</v>
      </c>
      <c r="M11" t="s">
        <v>92</v>
      </c>
      <c r="N11" s="22" t="s">
        <v>66</v>
      </c>
      <c r="O11" s="22" t="s">
        <v>31</v>
      </c>
      <c r="P11" s="22" t="s">
        <v>32</v>
      </c>
      <c r="Q11" s="22"/>
      <c r="R11" s="22" t="s">
        <v>33</v>
      </c>
      <c r="S11" s="22" t="s">
        <v>93</v>
      </c>
    </row>
    <row r="12" spans="1:19" x14ac:dyDescent="0.3">
      <c r="A12" s="24">
        <v>3</v>
      </c>
      <c r="B12" s="60"/>
      <c r="C12" s="28" t="s">
        <v>89</v>
      </c>
      <c r="D12" s="59"/>
      <c r="E12" s="28" t="s">
        <v>48</v>
      </c>
      <c r="F12" s="28" t="s">
        <v>48</v>
      </c>
      <c r="G12" s="22" t="s">
        <v>94</v>
      </c>
      <c r="H12" s="22" t="s">
        <v>38</v>
      </c>
      <c r="I12" s="22" t="s">
        <v>25</v>
      </c>
      <c r="J12" t="s">
        <v>95</v>
      </c>
      <c r="K12" s="22" t="s">
        <v>96</v>
      </c>
      <c r="L12" s="22" t="s">
        <v>28</v>
      </c>
      <c r="M12" s="22" t="s">
        <v>41</v>
      </c>
      <c r="N12" s="22" t="s">
        <v>66</v>
      </c>
      <c r="O12" s="22" t="s">
        <v>31</v>
      </c>
      <c r="P12" s="22" t="s">
        <v>32</v>
      </c>
      <c r="Q12" s="22"/>
      <c r="R12" s="22" t="s">
        <v>33</v>
      </c>
      <c r="S12" s="22" t="s">
        <v>97</v>
      </c>
    </row>
    <row r="13" spans="1:19" x14ac:dyDescent="0.3">
      <c r="A13" s="24">
        <v>3</v>
      </c>
      <c r="B13" s="60"/>
      <c r="C13" s="28" t="s">
        <v>89</v>
      </c>
      <c r="D13" s="59"/>
      <c r="E13" s="28" t="s">
        <v>48</v>
      </c>
      <c r="F13" s="28" t="s">
        <v>48</v>
      </c>
      <c r="G13" s="22" t="s">
        <v>98</v>
      </c>
      <c r="H13" s="22" t="s">
        <v>38</v>
      </c>
      <c r="I13" s="22" t="s">
        <v>57</v>
      </c>
      <c r="J13" s="22" t="s">
        <v>99</v>
      </c>
      <c r="K13" s="22" t="s">
        <v>27</v>
      </c>
      <c r="L13" s="22" t="s">
        <v>40</v>
      </c>
      <c r="M13" s="22" t="s">
        <v>41</v>
      </c>
      <c r="N13" s="22" t="s">
        <v>30</v>
      </c>
      <c r="O13" s="22" t="s">
        <v>42</v>
      </c>
      <c r="P13" s="22" t="s">
        <v>43</v>
      </c>
      <c r="Q13" s="22"/>
      <c r="R13" s="22" t="s">
        <v>33</v>
      </c>
      <c r="S13" s="22" t="s">
        <v>100</v>
      </c>
    </row>
    <row r="14" spans="1:19" x14ac:dyDescent="0.3">
      <c r="A14" s="33" t="s">
        <v>45</v>
      </c>
      <c r="B14" s="60"/>
      <c r="C14" s="35" t="s">
        <v>101</v>
      </c>
      <c r="D14" s="35"/>
      <c r="E14" s="35" t="s">
        <v>22</v>
      </c>
      <c r="F14" s="35"/>
      <c r="G14" s="40" t="s">
        <v>45</v>
      </c>
      <c r="H14" s="40"/>
      <c r="I14" s="40"/>
      <c r="J14" s="40"/>
      <c r="K14" s="34"/>
      <c r="L14" s="34"/>
      <c r="M14" s="34"/>
      <c r="N14" s="34"/>
      <c r="O14" s="34"/>
      <c r="P14" s="34"/>
      <c r="Q14" s="34" t="s">
        <v>53</v>
      </c>
      <c r="R14" s="34"/>
      <c r="S14" s="34" t="s">
        <v>45</v>
      </c>
    </row>
    <row r="15" spans="1:19" x14ac:dyDescent="0.3">
      <c r="A15" s="24">
        <v>3</v>
      </c>
      <c r="B15" s="60"/>
      <c r="C15" s="28" t="s">
        <v>102</v>
      </c>
      <c r="D15" s="28" t="s">
        <v>47</v>
      </c>
      <c r="E15" s="28" t="s">
        <v>22</v>
      </c>
      <c r="F15" s="28" t="s">
        <v>22</v>
      </c>
      <c r="G15" s="22" t="s">
        <v>103</v>
      </c>
      <c r="H15" s="22" t="s">
        <v>104</v>
      </c>
      <c r="I15" s="22" t="s">
        <v>25</v>
      </c>
      <c r="J15" s="22" t="s">
        <v>105</v>
      </c>
      <c r="K15" s="22" t="s">
        <v>27</v>
      </c>
      <c r="L15" s="22" t="s">
        <v>28</v>
      </c>
      <c r="M15" s="22" t="s">
        <v>41</v>
      </c>
      <c r="N15" s="22" t="s">
        <v>30</v>
      </c>
      <c r="O15" s="22" t="s">
        <v>31</v>
      </c>
      <c r="P15" s="22" t="s">
        <v>32</v>
      </c>
      <c r="Q15" s="22" t="s">
        <v>106</v>
      </c>
      <c r="R15" s="22" t="s">
        <v>33</v>
      </c>
      <c r="S15" t="s">
        <v>107</v>
      </c>
    </row>
    <row r="16" spans="1:19" x14ac:dyDescent="0.3">
      <c r="A16" s="24">
        <v>3</v>
      </c>
      <c r="B16" s="60"/>
      <c r="C16" s="28" t="s">
        <v>108</v>
      </c>
      <c r="D16" s="28" t="s">
        <v>47</v>
      </c>
      <c r="E16" s="28" t="s">
        <v>22</v>
      </c>
      <c r="F16" s="28" t="s">
        <v>22</v>
      </c>
      <c r="G16" s="22" t="s">
        <v>109</v>
      </c>
      <c r="H16" s="22" t="s">
        <v>110</v>
      </c>
      <c r="I16" s="22" t="s">
        <v>25</v>
      </c>
      <c r="J16" s="22" t="s">
        <v>111</v>
      </c>
      <c r="K16" s="22" t="s">
        <v>27</v>
      </c>
      <c r="L16" s="22" t="s">
        <v>28</v>
      </c>
      <c r="M16" s="22" t="s">
        <v>41</v>
      </c>
      <c r="N16" s="22" t="s">
        <v>30</v>
      </c>
      <c r="O16" s="22" t="s">
        <v>112</v>
      </c>
      <c r="P16" s="22" t="s">
        <v>113</v>
      </c>
      <c r="Q16" s="22"/>
      <c r="R16" s="22" t="s">
        <v>33</v>
      </c>
      <c r="S16" s="22" t="s">
        <v>114</v>
      </c>
    </row>
    <row r="23" spans="4:4" x14ac:dyDescent="0.3">
      <c r="D23" s="42" t="s">
        <v>542</v>
      </c>
    </row>
  </sheetData>
  <autoFilter ref="A1:S1" xr:uid="{F0D1AE80-3BFB-3B41-8518-A67336181549}">
    <sortState xmlns:xlrd2="http://schemas.microsoft.com/office/spreadsheetml/2017/richdata2" ref="A2:S18">
      <sortCondition ref="B1"/>
    </sortState>
  </autoFilter>
  <sortState xmlns:xlrd2="http://schemas.microsoft.com/office/spreadsheetml/2017/richdata2" ref="A2:S16">
    <sortCondition ref="B2:B16"/>
    <sortCondition ref="C2:C16"/>
    <sortCondition ref="G2:G16"/>
  </sortState>
  <dataConsolidate/>
  <mergeCells count="4">
    <mergeCell ref="D11:D13"/>
    <mergeCell ref="D7:D8"/>
    <mergeCell ref="B2:B9"/>
    <mergeCell ref="B10:B16"/>
  </mergeCells>
  <conditionalFormatting sqref="M4">
    <cfRule type="cellIs" dxfId="26" priority="3" operator="equal">
      <formula>"NONE"</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AE4B4-391E-474A-9621-08E11B188749}">
  <dimension ref="A1:S20"/>
  <sheetViews>
    <sheetView zoomScale="115" zoomScaleNormal="115" workbookViewId="0">
      <selection activeCell="F25" sqref="F25"/>
    </sheetView>
  </sheetViews>
  <sheetFormatPr defaultRowHeight="15" customHeight="1" x14ac:dyDescent="0.3"/>
  <cols>
    <col min="2" max="2" width="28.109375" style="50" customWidth="1"/>
    <col min="3" max="4" width="27.109375" style="29" customWidth="1"/>
    <col min="5" max="5" width="8.33203125" style="29" customWidth="1"/>
    <col min="6" max="6" width="9.33203125" style="29" customWidth="1"/>
    <col min="7" max="7" width="34.109375" customWidth="1"/>
    <col min="8" max="8" width="11.33203125" customWidth="1"/>
    <col min="9" max="9" width="18.109375" customWidth="1"/>
    <col min="10" max="10" width="49.88671875" customWidth="1"/>
    <col min="13" max="13" width="13.33203125" customWidth="1"/>
    <col min="14" max="14" width="10.33203125" customWidth="1"/>
    <col min="17" max="17" width="42.33203125" customWidth="1"/>
    <col min="18" max="18" width="25.6640625" customWidth="1"/>
    <col min="19" max="19" width="28.109375" customWidth="1"/>
  </cols>
  <sheetData>
    <row r="1" spans="1:19" x14ac:dyDescent="0.3">
      <c r="A1" s="21" t="s">
        <v>0</v>
      </c>
      <c r="B1" s="21" t="s">
        <v>1</v>
      </c>
      <c r="C1" s="41" t="s">
        <v>2</v>
      </c>
      <c r="D1" s="41" t="s">
        <v>3</v>
      </c>
      <c r="E1" s="27" t="s">
        <v>4</v>
      </c>
      <c r="F1" s="27" t="s">
        <v>5</v>
      </c>
      <c r="G1" s="21" t="s">
        <v>6</v>
      </c>
      <c r="H1" s="21" t="s">
        <v>7</v>
      </c>
      <c r="I1" s="21" t="s">
        <v>8</v>
      </c>
      <c r="J1" s="54" t="s">
        <v>9</v>
      </c>
      <c r="K1" s="21" t="s">
        <v>10</v>
      </c>
      <c r="L1" s="21" t="s">
        <v>11</v>
      </c>
      <c r="M1" s="21" t="s">
        <v>12</v>
      </c>
      <c r="N1" s="21" t="s">
        <v>13</v>
      </c>
      <c r="O1" s="21" t="s">
        <v>14</v>
      </c>
      <c r="P1" s="21" t="s">
        <v>15</v>
      </c>
      <c r="Q1" s="21" t="s">
        <v>16</v>
      </c>
      <c r="R1" s="21" t="s">
        <v>17</v>
      </c>
      <c r="S1" s="21" t="s">
        <v>18</v>
      </c>
    </row>
    <row r="2" spans="1:19" x14ac:dyDescent="0.3">
      <c r="A2" s="23">
        <v>2</v>
      </c>
      <c r="B2" s="60" t="s">
        <v>115</v>
      </c>
      <c r="C2" s="28" t="s">
        <v>116</v>
      </c>
      <c r="D2" s="60" t="s">
        <v>36</v>
      </c>
      <c r="E2" s="28" t="s">
        <v>22</v>
      </c>
      <c r="F2" s="28" t="s">
        <v>22</v>
      </c>
      <c r="G2" s="22" t="s">
        <v>117</v>
      </c>
      <c r="H2" s="22" t="s">
        <v>118</v>
      </c>
      <c r="I2" s="22" t="s">
        <v>57</v>
      </c>
      <c r="J2" t="s">
        <v>119</v>
      </c>
      <c r="K2" s="22" t="s">
        <v>96</v>
      </c>
      <c r="L2" s="22" t="s">
        <v>40</v>
      </c>
      <c r="M2" t="s">
        <v>92</v>
      </c>
      <c r="N2" s="22" t="s">
        <v>66</v>
      </c>
      <c r="O2" s="22" t="s">
        <v>120</v>
      </c>
      <c r="P2" s="18" t="s">
        <v>121</v>
      </c>
      <c r="Q2" s="22" t="s">
        <v>122</v>
      </c>
      <c r="R2" t="s">
        <v>123</v>
      </c>
      <c r="S2" s="22" t="s">
        <v>124</v>
      </c>
    </row>
    <row r="3" spans="1:19" x14ac:dyDescent="0.3">
      <c r="A3" s="23">
        <v>2</v>
      </c>
      <c r="B3" s="60"/>
      <c r="C3" s="28" t="s">
        <v>116</v>
      </c>
      <c r="D3" s="60"/>
      <c r="E3" s="28" t="s">
        <v>22</v>
      </c>
      <c r="F3" s="28" t="s">
        <v>22</v>
      </c>
      <c r="G3" s="22" t="s">
        <v>125</v>
      </c>
      <c r="H3" s="22" t="s">
        <v>118</v>
      </c>
      <c r="I3" s="22" t="s">
        <v>57</v>
      </c>
      <c r="J3" t="s">
        <v>126</v>
      </c>
      <c r="K3" s="22" t="s">
        <v>96</v>
      </c>
      <c r="L3" s="22" t="s">
        <v>40</v>
      </c>
      <c r="M3" t="s">
        <v>92</v>
      </c>
      <c r="N3" s="22" t="s">
        <v>66</v>
      </c>
      <c r="O3" s="22" t="s">
        <v>120</v>
      </c>
      <c r="P3" s="18" t="s">
        <v>121</v>
      </c>
      <c r="R3" t="s">
        <v>123</v>
      </c>
      <c r="S3" s="22" t="s">
        <v>127</v>
      </c>
    </row>
    <row r="4" spans="1:19" x14ac:dyDescent="0.3">
      <c r="A4" s="23">
        <v>2</v>
      </c>
      <c r="B4" s="60"/>
      <c r="C4" s="28" t="s">
        <v>116</v>
      </c>
      <c r="D4" s="60"/>
      <c r="E4" s="28" t="s">
        <v>22</v>
      </c>
      <c r="F4" s="28" t="s">
        <v>22</v>
      </c>
      <c r="G4" s="22" t="s">
        <v>128</v>
      </c>
      <c r="H4" s="22" t="s">
        <v>118</v>
      </c>
      <c r="I4" s="22" t="s">
        <v>57</v>
      </c>
      <c r="J4" t="s">
        <v>129</v>
      </c>
      <c r="K4" s="22" t="s">
        <v>96</v>
      </c>
      <c r="L4" s="22" t="s">
        <v>40</v>
      </c>
      <c r="M4" t="s">
        <v>92</v>
      </c>
      <c r="N4" s="22" t="s">
        <v>66</v>
      </c>
      <c r="O4" s="22" t="s">
        <v>120</v>
      </c>
      <c r="P4" s="18" t="s">
        <v>121</v>
      </c>
      <c r="Q4" s="22" t="s">
        <v>122</v>
      </c>
      <c r="R4" t="s">
        <v>123</v>
      </c>
      <c r="S4" s="22" t="s">
        <v>130</v>
      </c>
    </row>
    <row r="5" spans="1:19" x14ac:dyDescent="0.3">
      <c r="A5" s="23">
        <v>2</v>
      </c>
      <c r="B5" s="60"/>
      <c r="C5" s="28" t="s">
        <v>131</v>
      </c>
      <c r="D5" s="28" t="s">
        <v>36</v>
      </c>
      <c r="E5" s="28" t="s">
        <v>22</v>
      </c>
      <c r="F5" s="28" t="s">
        <v>22</v>
      </c>
      <c r="G5" s="22" t="s">
        <v>132</v>
      </c>
      <c r="H5" s="22" t="s">
        <v>133</v>
      </c>
      <c r="I5" s="22" t="s">
        <v>63</v>
      </c>
      <c r="J5" t="s">
        <v>134</v>
      </c>
      <c r="K5" s="22" t="s">
        <v>135</v>
      </c>
      <c r="L5" s="22"/>
      <c r="M5" s="22" t="s">
        <v>136</v>
      </c>
      <c r="N5" s="22" t="s">
        <v>30</v>
      </c>
      <c r="O5" s="22" t="s">
        <v>137</v>
      </c>
      <c r="P5" s="22" t="s">
        <v>138</v>
      </c>
      <c r="Q5" s="22" t="s">
        <v>139</v>
      </c>
      <c r="R5" s="22" t="s">
        <v>33</v>
      </c>
      <c r="S5" s="22" t="s">
        <v>140</v>
      </c>
    </row>
    <row r="6" spans="1:19" x14ac:dyDescent="0.3">
      <c r="A6" s="23">
        <v>2</v>
      </c>
      <c r="B6" s="60"/>
      <c r="C6" s="28" t="s">
        <v>141</v>
      </c>
      <c r="D6" s="28" t="s">
        <v>36</v>
      </c>
      <c r="E6" s="28" t="s">
        <v>22</v>
      </c>
      <c r="F6" s="28" t="s">
        <v>22</v>
      </c>
      <c r="G6" s="22" t="s">
        <v>142</v>
      </c>
      <c r="H6" s="22" t="s">
        <v>110</v>
      </c>
      <c r="I6" s="22" t="s">
        <v>25</v>
      </c>
      <c r="J6" s="22" t="s">
        <v>143</v>
      </c>
      <c r="K6" s="22" t="s">
        <v>27</v>
      </c>
      <c r="L6" s="22" t="s">
        <v>28</v>
      </c>
      <c r="M6" t="s">
        <v>144</v>
      </c>
      <c r="N6" s="22" t="s">
        <v>66</v>
      </c>
      <c r="O6" s="22" t="s">
        <v>31</v>
      </c>
      <c r="P6" s="22"/>
      <c r="Q6" s="22"/>
      <c r="R6" s="22" t="s">
        <v>33</v>
      </c>
      <c r="S6" s="22" t="s">
        <v>145</v>
      </c>
    </row>
    <row r="7" spans="1:19" x14ac:dyDescent="0.3">
      <c r="A7" s="24">
        <v>3</v>
      </c>
      <c r="B7" s="60" t="s">
        <v>146</v>
      </c>
      <c r="C7" s="28" t="s">
        <v>147</v>
      </c>
      <c r="D7" s="28" t="s">
        <v>36</v>
      </c>
      <c r="E7" s="28" t="s">
        <v>22</v>
      </c>
      <c r="F7" s="28" t="s">
        <v>22</v>
      </c>
      <c r="G7" s="22" t="s">
        <v>148</v>
      </c>
      <c r="H7" s="22" t="s">
        <v>149</v>
      </c>
      <c r="I7" s="22" t="s">
        <v>63</v>
      </c>
      <c r="J7" s="55" t="s">
        <v>150</v>
      </c>
      <c r="K7" s="22" t="s">
        <v>27</v>
      </c>
      <c r="L7" s="22" t="s">
        <v>40</v>
      </c>
      <c r="M7" s="48" t="s">
        <v>136</v>
      </c>
      <c r="N7" s="22" t="s">
        <v>30</v>
      </c>
      <c r="O7" s="22" t="s">
        <v>151</v>
      </c>
      <c r="P7" s="22" t="s">
        <v>152</v>
      </c>
      <c r="Q7" s="22" t="s">
        <v>153</v>
      </c>
      <c r="R7" s="22" t="s">
        <v>33</v>
      </c>
      <c r="S7" s="22" t="s">
        <v>154</v>
      </c>
    </row>
    <row r="8" spans="1:19" x14ac:dyDescent="0.3">
      <c r="A8" s="24">
        <v>3</v>
      </c>
      <c r="B8" s="60"/>
      <c r="C8" s="28" t="s">
        <v>147</v>
      </c>
      <c r="D8" s="28" t="s">
        <v>36</v>
      </c>
      <c r="E8" s="28" t="s">
        <v>22</v>
      </c>
      <c r="F8" s="28" t="s">
        <v>22</v>
      </c>
      <c r="G8" s="22" t="s">
        <v>155</v>
      </c>
      <c r="H8" s="22" t="s">
        <v>62</v>
      </c>
      <c r="I8" s="22" t="s">
        <v>63</v>
      </c>
      <c r="J8" s="55" t="s">
        <v>156</v>
      </c>
      <c r="K8" s="22" t="s">
        <v>27</v>
      </c>
      <c r="L8" s="22" t="s">
        <v>40</v>
      </c>
      <c r="M8" s="48" t="s">
        <v>136</v>
      </c>
      <c r="N8" s="22" t="s">
        <v>30</v>
      </c>
      <c r="O8" s="22" t="s">
        <v>151</v>
      </c>
      <c r="P8" s="22" t="s">
        <v>152</v>
      </c>
      <c r="Q8" s="22" t="s">
        <v>153</v>
      </c>
      <c r="R8" s="22" t="s">
        <v>33</v>
      </c>
      <c r="S8" s="22" t="s">
        <v>157</v>
      </c>
    </row>
    <row r="9" spans="1:19" x14ac:dyDescent="0.3">
      <c r="A9" s="24">
        <v>3</v>
      </c>
      <c r="B9" s="60"/>
      <c r="C9" s="28" t="s">
        <v>158</v>
      </c>
      <c r="D9" s="28" t="s">
        <v>36</v>
      </c>
      <c r="E9" s="28" t="s">
        <v>22</v>
      </c>
      <c r="F9" s="28" t="s">
        <v>22</v>
      </c>
      <c r="G9" s="22" t="s">
        <v>159</v>
      </c>
      <c r="H9" s="22" t="s">
        <v>110</v>
      </c>
      <c r="I9" s="22" t="s">
        <v>63</v>
      </c>
      <c r="J9" s="57" t="s">
        <v>160</v>
      </c>
      <c r="K9" s="22" t="s">
        <v>27</v>
      </c>
      <c r="L9" s="22" t="s">
        <v>40</v>
      </c>
      <c r="M9" s="48" t="s">
        <v>136</v>
      </c>
      <c r="N9" s="22" t="s">
        <v>66</v>
      </c>
      <c r="O9" s="22" t="s">
        <v>151</v>
      </c>
      <c r="P9" s="22" t="s">
        <v>152</v>
      </c>
      <c r="Q9" s="22" t="s">
        <v>161</v>
      </c>
      <c r="R9" s="49" t="s">
        <v>162</v>
      </c>
      <c r="S9" s="22" t="s">
        <v>163</v>
      </c>
    </row>
    <row r="10" spans="1:19" x14ac:dyDescent="0.3">
      <c r="A10" s="26"/>
      <c r="B10" s="61" t="s">
        <v>164</v>
      </c>
      <c r="C10" s="29" t="s">
        <v>165</v>
      </c>
      <c r="D10" s="29" t="s">
        <v>166</v>
      </c>
      <c r="E10" s="28" t="s">
        <v>22</v>
      </c>
      <c r="G10" s="22" t="s">
        <v>45</v>
      </c>
      <c r="H10" s="22"/>
      <c r="I10" s="22"/>
      <c r="J10" s="22"/>
      <c r="K10" s="22"/>
      <c r="L10" s="22"/>
      <c r="M10" s="22"/>
      <c r="N10" s="22"/>
      <c r="O10" s="22"/>
      <c r="P10" s="46"/>
      <c r="Q10" s="22" t="s">
        <v>167</v>
      </c>
      <c r="R10" s="22"/>
      <c r="S10" s="22" t="s">
        <v>45</v>
      </c>
    </row>
    <row r="11" spans="1:19" x14ac:dyDescent="0.3">
      <c r="A11" s="26"/>
      <c r="B11" s="61"/>
      <c r="C11" s="29" t="s">
        <v>168</v>
      </c>
      <c r="D11" s="29" t="s">
        <v>166</v>
      </c>
      <c r="E11" s="28" t="s">
        <v>22</v>
      </c>
      <c r="G11" s="22" t="s">
        <v>45</v>
      </c>
      <c r="H11" s="22"/>
      <c r="I11" s="22"/>
      <c r="J11" s="22"/>
      <c r="L11" s="22"/>
      <c r="M11" s="22"/>
      <c r="N11" s="22"/>
      <c r="O11" s="22"/>
      <c r="P11" s="18"/>
      <c r="Q11" s="22" t="s">
        <v>167</v>
      </c>
      <c r="R11" s="22"/>
      <c r="S11" s="22" t="s">
        <v>45</v>
      </c>
    </row>
    <row r="12" spans="1:19" x14ac:dyDescent="0.3">
      <c r="A12" s="26"/>
      <c r="B12" s="61"/>
      <c r="C12" s="29" t="s">
        <v>169</v>
      </c>
      <c r="D12" s="29" t="s">
        <v>166</v>
      </c>
      <c r="E12" s="28" t="s">
        <v>22</v>
      </c>
      <c r="G12" s="22" t="s">
        <v>45</v>
      </c>
      <c r="H12" s="22"/>
      <c r="I12" s="22"/>
      <c r="J12" s="22"/>
      <c r="L12" s="22"/>
      <c r="N12" s="22"/>
      <c r="P12" s="46"/>
      <c r="Q12" s="22" t="s">
        <v>167</v>
      </c>
      <c r="R12" s="22"/>
      <c r="S12" s="22" t="s">
        <v>45</v>
      </c>
    </row>
    <row r="13" spans="1:19" x14ac:dyDescent="0.3">
      <c r="A13" s="24">
        <v>3</v>
      </c>
      <c r="B13" s="60" t="s">
        <v>170</v>
      </c>
      <c r="C13" s="28" t="s">
        <v>171</v>
      </c>
      <c r="D13" s="28" t="s">
        <v>36</v>
      </c>
      <c r="E13" s="28" t="s">
        <v>22</v>
      </c>
      <c r="F13" s="28" t="s">
        <v>22</v>
      </c>
      <c r="G13" s="22" t="s">
        <v>172</v>
      </c>
      <c r="H13" s="22" t="s">
        <v>62</v>
      </c>
      <c r="I13" s="22" t="s">
        <v>173</v>
      </c>
      <c r="J13" t="s">
        <v>174</v>
      </c>
      <c r="K13" s="22" t="s">
        <v>27</v>
      </c>
      <c r="L13" s="22" t="s">
        <v>175</v>
      </c>
      <c r="M13" s="22" t="s">
        <v>136</v>
      </c>
      <c r="N13" s="22" t="s">
        <v>30</v>
      </c>
      <c r="O13" s="22" t="s">
        <v>176</v>
      </c>
      <c r="P13" s="22"/>
      <c r="Q13" s="22" t="s">
        <v>177</v>
      </c>
      <c r="R13" s="22" t="s">
        <v>33</v>
      </c>
      <c r="S13" s="22" t="s">
        <v>178</v>
      </c>
    </row>
    <row r="14" spans="1:19" x14ac:dyDescent="0.3">
      <c r="A14" s="24">
        <v>3</v>
      </c>
      <c r="B14" s="60"/>
      <c r="C14" s="28" t="s">
        <v>171</v>
      </c>
      <c r="D14" s="28" t="s">
        <v>36</v>
      </c>
      <c r="E14" s="28" t="s">
        <v>22</v>
      </c>
      <c r="F14" s="28"/>
      <c r="G14" s="22" t="s">
        <v>179</v>
      </c>
      <c r="H14" s="22" t="s">
        <v>62</v>
      </c>
      <c r="I14" s="22" t="s">
        <v>173</v>
      </c>
      <c r="J14" t="s">
        <v>180</v>
      </c>
      <c r="K14" s="22" t="s">
        <v>27</v>
      </c>
      <c r="L14" s="22" t="s">
        <v>175</v>
      </c>
      <c r="M14" s="22" t="s">
        <v>136</v>
      </c>
      <c r="N14" s="22" t="s">
        <v>30</v>
      </c>
      <c r="O14" s="22" t="s">
        <v>176</v>
      </c>
      <c r="P14" s="22"/>
      <c r="Q14" s="22" t="s">
        <v>177</v>
      </c>
      <c r="R14" s="22" t="s">
        <v>33</v>
      </c>
      <c r="S14" s="22" t="s">
        <v>181</v>
      </c>
    </row>
    <row r="15" spans="1:19" x14ac:dyDescent="0.3">
      <c r="A15" s="23">
        <v>2</v>
      </c>
      <c r="B15" s="60"/>
      <c r="C15" s="28" t="s">
        <v>182</v>
      </c>
      <c r="D15" s="28" t="s">
        <v>47</v>
      </c>
      <c r="E15" s="28" t="s">
        <v>22</v>
      </c>
      <c r="F15" s="28" t="s">
        <v>22</v>
      </c>
      <c r="G15" s="22" t="s">
        <v>182</v>
      </c>
      <c r="H15" s="22" t="s">
        <v>62</v>
      </c>
      <c r="I15" s="22" t="s">
        <v>63</v>
      </c>
      <c r="J15" t="s">
        <v>183</v>
      </c>
      <c r="K15" s="22" t="s">
        <v>135</v>
      </c>
      <c r="L15" s="22" t="s">
        <v>40</v>
      </c>
      <c r="M15" s="22" t="s">
        <v>136</v>
      </c>
      <c r="N15" s="22" t="s">
        <v>30</v>
      </c>
      <c r="O15" s="22" t="s">
        <v>184</v>
      </c>
      <c r="P15" s="22" t="s">
        <v>185</v>
      </c>
      <c r="Q15" s="22" t="s">
        <v>186</v>
      </c>
      <c r="R15" s="22" t="s">
        <v>33</v>
      </c>
      <c r="S15" s="22" t="s">
        <v>187</v>
      </c>
    </row>
    <row r="16" spans="1:19" x14ac:dyDescent="0.3">
      <c r="A16" s="23">
        <v>2</v>
      </c>
      <c r="B16" s="60"/>
      <c r="C16" s="28" t="s">
        <v>188</v>
      </c>
      <c r="D16" s="28" t="s">
        <v>166</v>
      </c>
      <c r="E16" s="28" t="s">
        <v>22</v>
      </c>
      <c r="F16" s="28" t="s">
        <v>22</v>
      </c>
      <c r="G16" s="22" t="s">
        <v>189</v>
      </c>
      <c r="H16" s="22" t="s">
        <v>38</v>
      </c>
      <c r="I16" s="22" t="s">
        <v>173</v>
      </c>
      <c r="J16" t="s">
        <v>190</v>
      </c>
      <c r="K16" s="22" t="s">
        <v>96</v>
      </c>
      <c r="L16" s="22" t="s">
        <v>40</v>
      </c>
      <c r="M16" s="22" t="s">
        <v>136</v>
      </c>
      <c r="N16" s="22" t="s">
        <v>66</v>
      </c>
      <c r="O16" s="22" t="s">
        <v>191</v>
      </c>
      <c r="P16" s="22" t="s">
        <v>192</v>
      </c>
      <c r="Q16" s="22" t="s">
        <v>193</v>
      </c>
      <c r="R16" s="22" t="s">
        <v>33</v>
      </c>
      <c r="S16" s="22" t="s">
        <v>194</v>
      </c>
    </row>
    <row r="17" spans="1:19" x14ac:dyDescent="0.3">
      <c r="A17" s="26">
        <v>1</v>
      </c>
      <c r="B17" s="60" t="s">
        <v>195</v>
      </c>
      <c r="C17" s="28" t="s">
        <v>196</v>
      </c>
      <c r="D17" s="60" t="s">
        <v>36</v>
      </c>
      <c r="E17" s="28" t="s">
        <v>22</v>
      </c>
      <c r="F17" s="28" t="s">
        <v>22</v>
      </c>
      <c r="G17" s="22" t="s">
        <v>197</v>
      </c>
      <c r="H17" s="22" t="s">
        <v>62</v>
      </c>
      <c r="I17" s="22" t="s">
        <v>63</v>
      </c>
      <c r="J17" t="s">
        <v>198</v>
      </c>
      <c r="K17" s="22" t="s">
        <v>96</v>
      </c>
      <c r="L17" s="22" t="s">
        <v>28</v>
      </c>
      <c r="M17" s="22"/>
      <c r="N17" s="22" t="s">
        <v>30</v>
      </c>
      <c r="O17" s="22" t="s">
        <v>199</v>
      </c>
      <c r="P17" s="22" t="s">
        <v>200</v>
      </c>
      <c r="Q17" s="22" t="s">
        <v>201</v>
      </c>
      <c r="R17" s="22" t="s">
        <v>33</v>
      </c>
      <c r="S17" s="22" t="s">
        <v>202</v>
      </c>
    </row>
    <row r="18" spans="1:19" x14ac:dyDescent="0.3">
      <c r="A18" s="26">
        <v>1</v>
      </c>
      <c r="B18" s="60"/>
      <c r="C18" s="28" t="s">
        <v>196</v>
      </c>
      <c r="D18" s="60"/>
      <c r="E18" s="28" t="s">
        <v>22</v>
      </c>
      <c r="F18" s="28" t="s">
        <v>22</v>
      </c>
      <c r="G18" s="22" t="s">
        <v>203</v>
      </c>
      <c r="H18" s="22" t="s">
        <v>62</v>
      </c>
      <c r="I18" s="22" t="s">
        <v>63</v>
      </c>
      <c r="J18" t="s">
        <v>198</v>
      </c>
      <c r="K18" s="22" t="s">
        <v>96</v>
      </c>
      <c r="L18" s="22" t="s">
        <v>28</v>
      </c>
      <c r="M18" s="22"/>
      <c r="N18" s="22" t="s">
        <v>30</v>
      </c>
      <c r="O18" s="22" t="s">
        <v>199</v>
      </c>
      <c r="P18" s="22" t="s">
        <v>200</v>
      </c>
      <c r="Q18" s="22" t="s">
        <v>201</v>
      </c>
      <c r="R18" s="22" t="s">
        <v>33</v>
      </c>
      <c r="S18" s="22" t="s">
        <v>204</v>
      </c>
    </row>
    <row r="19" spans="1:19" x14ac:dyDescent="0.3">
      <c r="A19" s="23">
        <v>2</v>
      </c>
      <c r="B19" s="60"/>
      <c r="C19" s="28" t="s">
        <v>205</v>
      </c>
      <c r="D19" s="60" t="s">
        <v>36</v>
      </c>
      <c r="E19" s="28" t="s">
        <v>22</v>
      </c>
      <c r="F19" s="28" t="s">
        <v>22</v>
      </c>
      <c r="G19" s="22" t="s">
        <v>206</v>
      </c>
      <c r="H19" s="22" t="s">
        <v>207</v>
      </c>
      <c r="I19" s="22" t="s">
        <v>63</v>
      </c>
      <c r="J19" t="s">
        <v>208</v>
      </c>
      <c r="K19" s="22" t="s">
        <v>209</v>
      </c>
      <c r="L19" s="22" t="s">
        <v>210</v>
      </c>
      <c r="M19" s="22" t="s">
        <v>136</v>
      </c>
      <c r="N19" s="22" t="s">
        <v>211</v>
      </c>
      <c r="O19" s="22" t="s">
        <v>212</v>
      </c>
      <c r="P19" s="22" t="s">
        <v>213</v>
      </c>
      <c r="Q19" s="22"/>
      <c r="R19" s="22" t="s">
        <v>33</v>
      </c>
      <c r="S19" s="22" t="s">
        <v>214</v>
      </c>
    </row>
    <row r="20" spans="1:19" x14ac:dyDescent="0.3">
      <c r="A20" s="23">
        <v>2</v>
      </c>
      <c r="B20" s="60"/>
      <c r="C20" s="28" t="s">
        <v>205</v>
      </c>
      <c r="D20" s="60"/>
      <c r="E20" s="28" t="s">
        <v>22</v>
      </c>
      <c r="F20" s="28" t="s">
        <v>22</v>
      </c>
      <c r="G20" s="22" t="s">
        <v>215</v>
      </c>
      <c r="H20" s="22" t="s">
        <v>216</v>
      </c>
      <c r="I20" s="22" t="s">
        <v>63</v>
      </c>
      <c r="J20" t="s">
        <v>217</v>
      </c>
      <c r="K20" s="22" t="s">
        <v>27</v>
      </c>
      <c r="L20" s="22" t="s">
        <v>218</v>
      </c>
      <c r="M20" s="22" t="s">
        <v>136</v>
      </c>
      <c r="N20" s="22" t="s">
        <v>66</v>
      </c>
      <c r="O20" s="22" t="s">
        <v>219</v>
      </c>
      <c r="P20" s="22" t="s">
        <v>220</v>
      </c>
      <c r="Q20" s="22" t="s">
        <v>221</v>
      </c>
      <c r="R20" s="22" t="s">
        <v>33</v>
      </c>
      <c r="S20" s="22" t="s">
        <v>222</v>
      </c>
    </row>
  </sheetData>
  <sortState xmlns:xlrd2="http://schemas.microsoft.com/office/spreadsheetml/2017/richdata2" ref="A2:S20">
    <sortCondition ref="B2:B20"/>
    <sortCondition ref="C2:C20"/>
    <sortCondition ref="G2:G20"/>
  </sortState>
  <mergeCells count="8">
    <mergeCell ref="D17:D18"/>
    <mergeCell ref="D19:D20"/>
    <mergeCell ref="D2:D4"/>
    <mergeCell ref="B2:B6"/>
    <mergeCell ref="B7:B9"/>
    <mergeCell ref="B13:B16"/>
    <mergeCell ref="B17:B20"/>
    <mergeCell ref="B10:B12"/>
  </mergeCells>
  <conditionalFormatting sqref="M2:N4 M16:N20">
    <cfRule type="cellIs" dxfId="25" priority="7" operator="equal">
      <formula>"NONE"</formula>
    </cfRule>
  </conditionalFormatting>
  <conditionalFormatting sqref="M6:N6">
    <cfRule type="cellIs" dxfId="24" priority="2" operator="equal">
      <formula>"NONE"</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95016-FFA1-D04E-AB0C-5DF6EE3EB4E3}">
  <dimension ref="A1:S17"/>
  <sheetViews>
    <sheetView zoomScale="115" zoomScaleNormal="115" workbookViewId="0">
      <pane ySplit="1" topLeftCell="A2" activePane="bottomLeft" state="frozen"/>
      <selection pane="bottomLeft" activeCell="D21" sqref="D21"/>
    </sheetView>
  </sheetViews>
  <sheetFormatPr defaultRowHeight="15" customHeight="1" x14ac:dyDescent="0.3"/>
  <cols>
    <col min="2" max="2" width="21.109375" style="50" customWidth="1"/>
    <col min="3" max="3" width="35.109375" style="50" customWidth="1"/>
    <col min="4" max="4" width="32.77734375" style="50" customWidth="1"/>
    <col min="5" max="5" width="11.5546875" customWidth="1"/>
    <col min="6" max="6" width="11.109375" customWidth="1"/>
    <col min="7" max="7" width="34.33203125" customWidth="1"/>
    <col min="8" max="8" width="11.88671875" customWidth="1"/>
    <col min="9" max="9" width="17.5546875" customWidth="1"/>
    <col min="10" max="10" width="28.6640625" customWidth="1"/>
    <col min="13" max="13" width="26.33203125" customWidth="1"/>
    <col min="14" max="14" width="14.33203125" customWidth="1"/>
    <col min="15" max="15" width="34.6640625" customWidth="1"/>
    <col min="17" max="17" width="35" customWidth="1"/>
    <col min="18" max="18" width="25.109375" customWidth="1"/>
    <col min="19" max="19" width="28.33203125" customWidth="1"/>
  </cols>
  <sheetData>
    <row r="1" spans="1:19" ht="14.4" x14ac:dyDescent="0.3">
      <c r="A1" s="21" t="s">
        <v>0</v>
      </c>
      <c r="B1" s="53" t="s">
        <v>1</v>
      </c>
      <c r="C1" s="53" t="s">
        <v>2</v>
      </c>
      <c r="D1" s="41" t="s">
        <v>3</v>
      </c>
      <c r="E1" s="21" t="s">
        <v>4</v>
      </c>
      <c r="F1" s="21" t="s">
        <v>5</v>
      </c>
      <c r="G1" s="21" t="s">
        <v>6</v>
      </c>
      <c r="H1" s="21" t="s">
        <v>7</v>
      </c>
      <c r="I1" s="21" t="s">
        <v>8</v>
      </c>
      <c r="J1" s="21" t="s">
        <v>9</v>
      </c>
      <c r="K1" s="21" t="s">
        <v>10</v>
      </c>
      <c r="L1" s="21" t="s">
        <v>11</v>
      </c>
      <c r="M1" s="21" t="s">
        <v>12</v>
      </c>
      <c r="N1" s="21" t="s">
        <v>13</v>
      </c>
      <c r="O1" s="21" t="s">
        <v>14</v>
      </c>
      <c r="P1" s="21" t="s">
        <v>15</v>
      </c>
      <c r="Q1" s="21" t="s">
        <v>16</v>
      </c>
      <c r="R1" s="21" t="s">
        <v>17</v>
      </c>
      <c r="S1" s="21" t="s">
        <v>18</v>
      </c>
    </row>
    <row r="2" spans="1:19" ht="14.4" x14ac:dyDescent="0.3">
      <c r="A2" s="23">
        <v>2</v>
      </c>
      <c r="B2" s="60" t="s">
        <v>224</v>
      </c>
      <c r="C2" s="38" t="s">
        <v>225</v>
      </c>
      <c r="D2" s="38" t="s">
        <v>166</v>
      </c>
      <c r="E2" s="38" t="s">
        <v>22</v>
      </c>
      <c r="F2" s="38" t="s">
        <v>22</v>
      </c>
      <c r="G2" s="22" t="s">
        <v>226</v>
      </c>
      <c r="H2" s="22" t="s">
        <v>38</v>
      </c>
      <c r="I2" s="22" t="s">
        <v>63</v>
      </c>
      <c r="J2" s="22" t="s">
        <v>227</v>
      </c>
      <c r="K2" s="22" t="s">
        <v>96</v>
      </c>
      <c r="L2" s="22" t="s">
        <v>228</v>
      </c>
      <c r="M2" t="s">
        <v>229</v>
      </c>
      <c r="N2" s="22" t="s">
        <v>30</v>
      </c>
      <c r="O2" s="22" t="s">
        <v>230</v>
      </c>
      <c r="P2" s="22" t="s">
        <v>231</v>
      </c>
      <c r="Q2" s="22" t="s">
        <v>232</v>
      </c>
      <c r="R2" s="22" t="s">
        <v>123</v>
      </c>
      <c r="S2" s="22" t="s">
        <v>233</v>
      </c>
    </row>
    <row r="3" spans="1:19" ht="14.4" x14ac:dyDescent="0.3">
      <c r="A3" s="24">
        <v>3</v>
      </c>
      <c r="B3" s="60"/>
      <c r="C3" s="28" t="s">
        <v>234</v>
      </c>
      <c r="D3" s="28" t="s">
        <v>36</v>
      </c>
      <c r="E3" s="28" t="s">
        <v>22</v>
      </c>
      <c r="F3" s="28" t="s">
        <v>22</v>
      </c>
      <c r="G3" s="22" t="s">
        <v>235</v>
      </c>
      <c r="H3" s="22" t="s">
        <v>38</v>
      </c>
      <c r="I3" s="22" t="s">
        <v>63</v>
      </c>
      <c r="J3" t="s">
        <v>236</v>
      </c>
      <c r="K3" s="22" t="s">
        <v>27</v>
      </c>
      <c r="L3" s="22" t="s">
        <v>40</v>
      </c>
      <c r="M3" s="22" t="s">
        <v>65</v>
      </c>
      <c r="N3" s="22" t="s">
        <v>66</v>
      </c>
      <c r="O3" s="22" t="s">
        <v>237</v>
      </c>
      <c r="P3" s="22" t="s">
        <v>238</v>
      </c>
      <c r="Q3" s="22" t="s">
        <v>239</v>
      </c>
      <c r="R3" s="49" t="s">
        <v>240</v>
      </c>
      <c r="S3" s="22" t="s">
        <v>241</v>
      </c>
    </row>
    <row r="4" spans="1:19" ht="14.4" x14ac:dyDescent="0.3">
      <c r="A4" s="24">
        <v>3</v>
      </c>
      <c r="B4" s="60"/>
      <c r="C4" s="38" t="s">
        <v>242</v>
      </c>
      <c r="D4" s="38" t="s">
        <v>166</v>
      </c>
      <c r="E4" s="38" t="s">
        <v>22</v>
      </c>
      <c r="F4" s="38" t="s">
        <v>22</v>
      </c>
      <c r="G4" s="22" t="s">
        <v>243</v>
      </c>
      <c r="H4" s="22" t="s">
        <v>56</v>
      </c>
      <c r="I4" s="22" t="s">
        <v>63</v>
      </c>
      <c r="J4" t="s">
        <v>244</v>
      </c>
      <c r="K4" s="22" t="s">
        <v>27</v>
      </c>
      <c r="L4" s="22" t="s">
        <v>40</v>
      </c>
      <c r="M4" s="22" t="s">
        <v>65</v>
      </c>
      <c r="N4" s="22" t="s">
        <v>66</v>
      </c>
      <c r="O4" s="22" t="s">
        <v>245</v>
      </c>
      <c r="P4" s="22" t="s">
        <v>246</v>
      </c>
      <c r="Q4" s="22"/>
      <c r="R4" s="22" t="s">
        <v>33</v>
      </c>
      <c r="S4" s="22" t="s">
        <v>247</v>
      </c>
    </row>
    <row r="5" spans="1:19" ht="14.4" x14ac:dyDescent="0.3">
      <c r="A5" s="33" t="s">
        <v>45</v>
      </c>
      <c r="B5" s="60"/>
      <c r="C5" s="39" t="s">
        <v>248</v>
      </c>
      <c r="D5" s="39" t="s">
        <v>166</v>
      </c>
      <c r="E5" s="39" t="s">
        <v>22</v>
      </c>
      <c r="F5" s="39"/>
      <c r="G5" s="40" t="s">
        <v>45</v>
      </c>
      <c r="H5" s="40"/>
      <c r="I5" s="40"/>
      <c r="J5" s="40"/>
      <c r="K5" s="34"/>
      <c r="L5" s="34"/>
      <c r="M5" s="34"/>
      <c r="N5" s="34"/>
      <c r="O5" s="34"/>
      <c r="P5" s="34"/>
      <c r="Q5" s="56" t="s">
        <v>543</v>
      </c>
      <c r="R5" s="34"/>
      <c r="S5" s="25" t="s">
        <v>45</v>
      </c>
    </row>
    <row r="6" spans="1:19" ht="16.2" customHeight="1" x14ac:dyDescent="0.3">
      <c r="A6" s="24">
        <v>3</v>
      </c>
      <c r="B6" s="60"/>
      <c r="C6" s="47" t="s">
        <v>249</v>
      </c>
      <c r="D6" s="47" t="s">
        <v>36</v>
      </c>
      <c r="E6" s="47" t="s">
        <v>22</v>
      </c>
      <c r="F6" s="47" t="s">
        <v>22</v>
      </c>
      <c r="G6" s="22" t="s">
        <v>250</v>
      </c>
      <c r="H6" s="22" t="s">
        <v>110</v>
      </c>
      <c r="I6" s="22" t="s">
        <v>63</v>
      </c>
      <c r="J6" t="s">
        <v>251</v>
      </c>
      <c r="K6" s="22" t="s">
        <v>27</v>
      </c>
      <c r="L6" s="22" t="s">
        <v>40</v>
      </c>
      <c r="M6" s="22" t="s">
        <v>65</v>
      </c>
      <c r="N6" s="22" t="s">
        <v>66</v>
      </c>
      <c r="O6" s="22" t="s">
        <v>252</v>
      </c>
      <c r="P6" s="22" t="s">
        <v>253</v>
      </c>
      <c r="Q6" s="22" t="s">
        <v>254</v>
      </c>
      <c r="R6" s="22" t="s">
        <v>33</v>
      </c>
      <c r="S6" s="22" t="s">
        <v>255</v>
      </c>
    </row>
    <row r="7" spans="1:19" ht="14.4" x14ac:dyDescent="0.3">
      <c r="A7" s="23">
        <v>2</v>
      </c>
      <c r="B7" s="60" t="s">
        <v>256</v>
      </c>
      <c r="C7" s="50" t="s">
        <v>257</v>
      </c>
      <c r="D7" s="50" t="s">
        <v>47</v>
      </c>
      <c r="E7" s="50" t="s">
        <v>22</v>
      </c>
      <c r="F7" s="50" t="s">
        <v>22</v>
      </c>
      <c r="G7" s="51" t="s">
        <v>258</v>
      </c>
      <c r="H7" s="51" t="s">
        <v>110</v>
      </c>
      <c r="I7" s="22" t="s">
        <v>63</v>
      </c>
      <c r="J7" s="22" t="s">
        <v>259</v>
      </c>
      <c r="K7" t="s">
        <v>27</v>
      </c>
      <c r="L7" s="22" t="s">
        <v>40</v>
      </c>
      <c r="M7" s="22" t="s">
        <v>65</v>
      </c>
      <c r="N7" s="22" t="s">
        <v>66</v>
      </c>
      <c r="O7" t="s">
        <v>260</v>
      </c>
      <c r="P7" t="s">
        <v>261</v>
      </c>
      <c r="Q7" t="s">
        <v>262</v>
      </c>
      <c r="R7" s="22" t="s">
        <v>33</v>
      </c>
      <c r="S7" s="22" t="s">
        <v>263</v>
      </c>
    </row>
    <row r="8" spans="1:19" ht="14.4" x14ac:dyDescent="0.3">
      <c r="A8" s="33" t="s">
        <v>45</v>
      </c>
      <c r="B8" s="60"/>
      <c r="C8" s="39" t="s">
        <v>264</v>
      </c>
      <c r="D8" s="39" t="s">
        <v>36</v>
      </c>
      <c r="E8" s="39" t="s">
        <v>22</v>
      </c>
      <c r="F8" s="39"/>
      <c r="G8" s="40" t="s">
        <v>45</v>
      </c>
      <c r="H8" s="40"/>
      <c r="I8" s="40"/>
      <c r="J8" s="40"/>
      <c r="K8" s="34"/>
      <c r="L8" s="34"/>
      <c r="M8" s="34"/>
      <c r="N8" s="34"/>
      <c r="O8" s="34"/>
      <c r="P8" s="34"/>
      <c r="Q8" s="34"/>
      <c r="R8" s="33"/>
      <c r="S8" s="25" t="s">
        <v>45</v>
      </c>
    </row>
    <row r="9" spans="1:19" ht="14.4" x14ac:dyDescent="0.3">
      <c r="A9" s="23">
        <v>2</v>
      </c>
      <c r="B9" s="60"/>
      <c r="C9" s="29" t="s">
        <v>265</v>
      </c>
      <c r="D9" s="29" t="s">
        <v>36</v>
      </c>
      <c r="E9" s="29" t="s">
        <v>22</v>
      </c>
      <c r="F9" s="29" t="s">
        <v>22</v>
      </c>
      <c r="G9" s="22" t="s">
        <v>266</v>
      </c>
      <c r="H9" s="22" t="s">
        <v>216</v>
      </c>
      <c r="I9" s="22" t="s">
        <v>63</v>
      </c>
      <c r="J9" t="s">
        <v>267</v>
      </c>
      <c r="K9" s="22" t="s">
        <v>27</v>
      </c>
      <c r="L9" s="22" t="s">
        <v>40</v>
      </c>
      <c r="M9" s="22" t="s">
        <v>65</v>
      </c>
      <c r="N9" s="22" t="s">
        <v>66</v>
      </c>
      <c r="O9" s="22" t="s">
        <v>237</v>
      </c>
      <c r="P9" s="22" t="s">
        <v>238</v>
      </c>
      <c r="Q9" s="22" t="s">
        <v>268</v>
      </c>
      <c r="R9" s="22" t="s">
        <v>269</v>
      </c>
      <c r="S9" s="22" t="s">
        <v>270</v>
      </c>
    </row>
    <row r="10" spans="1:19" ht="14.4" x14ac:dyDescent="0.3">
      <c r="A10" s="24">
        <v>3</v>
      </c>
      <c r="B10" s="60" t="s">
        <v>271</v>
      </c>
      <c r="C10" s="38" t="s">
        <v>272</v>
      </c>
      <c r="D10" s="38" t="s">
        <v>47</v>
      </c>
      <c r="E10" s="38" t="s">
        <v>22</v>
      </c>
      <c r="F10" s="38" t="s">
        <v>22</v>
      </c>
      <c r="G10" s="22" t="s">
        <v>273</v>
      </c>
      <c r="H10" s="22" t="s">
        <v>110</v>
      </c>
      <c r="I10" s="22" t="s">
        <v>63</v>
      </c>
      <c r="J10" t="s">
        <v>274</v>
      </c>
      <c r="K10" s="22" t="s">
        <v>27</v>
      </c>
      <c r="L10" s="22" t="s">
        <v>40</v>
      </c>
      <c r="M10" s="22" t="s">
        <v>65</v>
      </c>
      <c r="N10" s="22" t="s">
        <v>66</v>
      </c>
      <c r="O10" s="22" t="s">
        <v>237</v>
      </c>
      <c r="P10" s="22" t="s">
        <v>238</v>
      </c>
      <c r="R10" s="22" t="s">
        <v>269</v>
      </c>
      <c r="S10" s="22" t="s">
        <v>275</v>
      </c>
    </row>
    <row r="11" spans="1:19" ht="14.4" x14ac:dyDescent="0.3">
      <c r="A11" s="23">
        <v>2</v>
      </c>
      <c r="B11" s="60"/>
      <c r="C11" s="28" t="s">
        <v>276</v>
      </c>
      <c r="D11" s="28" t="s">
        <v>47</v>
      </c>
      <c r="E11" s="28" t="s">
        <v>22</v>
      </c>
      <c r="F11" s="28" t="s">
        <v>22</v>
      </c>
      <c r="G11" s="22" t="s">
        <v>277</v>
      </c>
      <c r="H11" s="22" t="s">
        <v>38</v>
      </c>
      <c r="I11" s="22" t="s">
        <v>63</v>
      </c>
      <c r="J11" t="s">
        <v>278</v>
      </c>
      <c r="K11" s="22" t="s">
        <v>27</v>
      </c>
      <c r="L11" s="22" t="s">
        <v>28</v>
      </c>
      <c r="M11" s="22" t="s">
        <v>279</v>
      </c>
      <c r="N11" s="22" t="s">
        <v>211</v>
      </c>
      <c r="O11" s="22" t="s">
        <v>223</v>
      </c>
      <c r="P11" s="22" t="s">
        <v>68</v>
      </c>
      <c r="Q11" s="22" t="s">
        <v>280</v>
      </c>
      <c r="R11" s="22" t="s">
        <v>33</v>
      </c>
      <c r="S11" s="22" t="s">
        <v>281</v>
      </c>
    </row>
    <row r="12" spans="1:19" ht="14.4" x14ac:dyDescent="0.3">
      <c r="A12" s="23">
        <v>2</v>
      </c>
      <c r="B12" s="60"/>
      <c r="C12" s="29" t="s">
        <v>282</v>
      </c>
      <c r="D12" s="61" t="s">
        <v>36</v>
      </c>
      <c r="E12" s="29" t="s">
        <v>22</v>
      </c>
      <c r="F12" s="29" t="s">
        <v>22</v>
      </c>
      <c r="G12" s="22" t="s">
        <v>283</v>
      </c>
      <c r="H12" s="22" t="s">
        <v>38</v>
      </c>
      <c r="I12" s="22" t="s">
        <v>63</v>
      </c>
      <c r="J12" t="s">
        <v>284</v>
      </c>
      <c r="K12" s="22" t="s">
        <v>27</v>
      </c>
      <c r="L12" s="22" t="s">
        <v>40</v>
      </c>
      <c r="M12" s="22" t="s">
        <v>65</v>
      </c>
      <c r="N12" s="22" t="s">
        <v>66</v>
      </c>
      <c r="O12" s="22" t="s">
        <v>237</v>
      </c>
      <c r="P12" s="22" t="s">
        <v>238</v>
      </c>
      <c r="Q12" s="22" t="s">
        <v>285</v>
      </c>
      <c r="R12" s="22" t="s">
        <v>269</v>
      </c>
      <c r="S12" s="22" t="s">
        <v>286</v>
      </c>
    </row>
    <row r="13" spans="1:19" ht="14.4" x14ac:dyDescent="0.3">
      <c r="A13" s="23">
        <v>2</v>
      </c>
      <c r="B13" s="60"/>
      <c r="C13" s="29" t="s">
        <v>282</v>
      </c>
      <c r="D13" s="61"/>
      <c r="E13" s="29" t="s">
        <v>22</v>
      </c>
      <c r="F13" s="29" t="s">
        <v>22</v>
      </c>
      <c r="G13" s="22" t="s">
        <v>287</v>
      </c>
      <c r="H13" s="22" t="s">
        <v>110</v>
      </c>
      <c r="I13" s="22" t="s">
        <v>63</v>
      </c>
      <c r="J13" s="22" t="s">
        <v>288</v>
      </c>
      <c r="K13" s="22" t="s">
        <v>27</v>
      </c>
      <c r="L13" s="22" t="s">
        <v>40</v>
      </c>
      <c r="M13" s="22" t="s">
        <v>65</v>
      </c>
      <c r="N13" s="22" t="s">
        <v>66</v>
      </c>
      <c r="O13" t="s">
        <v>260</v>
      </c>
      <c r="P13" t="s">
        <v>261</v>
      </c>
      <c r="Q13" t="s">
        <v>289</v>
      </c>
      <c r="R13" s="22" t="s">
        <v>33</v>
      </c>
      <c r="S13" s="22" t="s">
        <v>290</v>
      </c>
    </row>
    <row r="14" spans="1:19" ht="14.4" x14ac:dyDescent="0.3">
      <c r="A14" s="23">
        <v>2</v>
      </c>
      <c r="B14" s="60"/>
      <c r="C14" s="28" t="s">
        <v>291</v>
      </c>
      <c r="D14" s="60" t="s">
        <v>47</v>
      </c>
      <c r="E14" s="28" t="s">
        <v>22</v>
      </c>
      <c r="F14" s="28" t="s">
        <v>22</v>
      </c>
      <c r="G14" s="22" t="s">
        <v>292</v>
      </c>
      <c r="H14" s="22" t="s">
        <v>38</v>
      </c>
      <c r="I14" s="22" t="s">
        <v>63</v>
      </c>
      <c r="J14" s="22" t="s">
        <v>293</v>
      </c>
      <c r="K14" s="22" t="s">
        <v>96</v>
      </c>
      <c r="L14" s="22" t="s">
        <v>40</v>
      </c>
      <c r="M14" s="22" t="s">
        <v>65</v>
      </c>
      <c r="N14" s="22" t="s">
        <v>66</v>
      </c>
      <c r="O14" s="22" t="s">
        <v>294</v>
      </c>
      <c r="P14" s="22" t="s">
        <v>295</v>
      </c>
      <c r="Q14" s="22"/>
      <c r="R14" s="22" t="s">
        <v>33</v>
      </c>
      <c r="S14" s="22" t="s">
        <v>296</v>
      </c>
    </row>
    <row r="15" spans="1:19" ht="14.4" x14ac:dyDescent="0.3">
      <c r="A15" s="23">
        <v>2</v>
      </c>
      <c r="B15" s="60"/>
      <c r="C15" s="28" t="s">
        <v>291</v>
      </c>
      <c r="D15" s="60"/>
      <c r="E15" s="28" t="s">
        <v>22</v>
      </c>
      <c r="F15" s="28" t="s">
        <v>22</v>
      </c>
      <c r="G15" s="22" t="s">
        <v>297</v>
      </c>
      <c r="H15" s="22" t="s">
        <v>38</v>
      </c>
      <c r="I15" s="22" t="s">
        <v>63</v>
      </c>
      <c r="J15" s="22" t="s">
        <v>298</v>
      </c>
      <c r="K15" s="22" t="s">
        <v>96</v>
      </c>
      <c r="L15" s="22" t="s">
        <v>40</v>
      </c>
      <c r="M15" s="22" t="s">
        <v>65</v>
      </c>
      <c r="N15" s="22" t="s">
        <v>66</v>
      </c>
      <c r="O15" s="22" t="s">
        <v>294</v>
      </c>
      <c r="P15" s="22" t="s">
        <v>295</v>
      </c>
      <c r="Q15" s="22"/>
      <c r="R15" s="22" t="s">
        <v>33</v>
      </c>
      <c r="S15" s="22" t="s">
        <v>299</v>
      </c>
    </row>
    <row r="16" spans="1:19" ht="14.4" x14ac:dyDescent="0.3">
      <c r="A16" s="24">
        <v>3</v>
      </c>
      <c r="B16" s="60"/>
      <c r="C16" s="29" t="s">
        <v>300</v>
      </c>
      <c r="D16" s="61" t="s">
        <v>36</v>
      </c>
      <c r="E16" s="29" t="s">
        <v>22</v>
      </c>
      <c r="F16" s="29" t="s">
        <v>22</v>
      </c>
      <c r="G16" s="22" t="s">
        <v>301</v>
      </c>
      <c r="H16" s="22" t="s">
        <v>38</v>
      </c>
      <c r="I16" s="22" t="s">
        <v>63</v>
      </c>
      <c r="J16" t="s">
        <v>302</v>
      </c>
      <c r="K16" s="22" t="s">
        <v>27</v>
      </c>
      <c r="L16" s="22" t="s">
        <v>40</v>
      </c>
      <c r="M16" s="22" t="s">
        <v>65</v>
      </c>
      <c r="N16" s="22" t="s">
        <v>66</v>
      </c>
      <c r="O16" s="22" t="s">
        <v>237</v>
      </c>
      <c r="P16" s="22" t="s">
        <v>238</v>
      </c>
      <c r="R16" s="22" t="s">
        <v>303</v>
      </c>
      <c r="S16" t="s">
        <v>304</v>
      </c>
    </row>
    <row r="17" spans="1:19" ht="14.4" x14ac:dyDescent="0.3">
      <c r="A17" s="24">
        <v>3</v>
      </c>
      <c r="B17" s="60"/>
      <c r="C17" s="29" t="s">
        <v>300</v>
      </c>
      <c r="D17" s="61"/>
      <c r="E17" s="29" t="s">
        <v>22</v>
      </c>
      <c r="F17" s="29" t="s">
        <v>22</v>
      </c>
      <c r="G17" s="22" t="s">
        <v>305</v>
      </c>
      <c r="H17" s="22" t="s">
        <v>110</v>
      </c>
      <c r="I17" s="22" t="s">
        <v>63</v>
      </c>
      <c r="J17" s="22" t="s">
        <v>306</v>
      </c>
      <c r="K17" s="22" t="s">
        <v>27</v>
      </c>
      <c r="L17" s="22" t="s">
        <v>40</v>
      </c>
      <c r="M17" s="22" t="s">
        <v>65</v>
      </c>
      <c r="N17" s="22" t="s">
        <v>66</v>
      </c>
      <c r="O17" t="s">
        <v>260</v>
      </c>
      <c r="P17" t="s">
        <v>261</v>
      </c>
      <c r="R17" s="22" t="s">
        <v>33</v>
      </c>
      <c r="S17" s="22" t="s">
        <v>307</v>
      </c>
    </row>
  </sheetData>
  <autoFilter ref="A1:Q1" xr:uid="{C9F95016-FFA1-D04E-AB0C-5DF6EE3EB4E3}">
    <sortState xmlns:xlrd2="http://schemas.microsoft.com/office/spreadsheetml/2017/richdata2" ref="A2:Q36">
      <sortCondition ref="B2:B36"/>
      <sortCondition ref="C2:C36"/>
      <sortCondition ref="G2:G36"/>
    </sortState>
  </autoFilter>
  <sortState xmlns:xlrd2="http://schemas.microsoft.com/office/spreadsheetml/2017/richdata2" ref="A2:S17">
    <sortCondition ref="B2:B17"/>
    <sortCondition ref="C2:C17"/>
    <sortCondition ref="G2:G17"/>
  </sortState>
  <mergeCells count="6">
    <mergeCell ref="D12:D13"/>
    <mergeCell ref="D14:D15"/>
    <mergeCell ref="D16:D17"/>
    <mergeCell ref="B2:B6"/>
    <mergeCell ref="B7:B9"/>
    <mergeCell ref="B10:B17"/>
  </mergeCells>
  <conditionalFormatting sqref="M2">
    <cfRule type="cellIs" dxfId="23" priority="3" operator="equal">
      <formula>"NONE"</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648BA-9C58-4148-8A4E-841344F5CF5C}">
  <dimension ref="A1:T15"/>
  <sheetViews>
    <sheetView tabSelected="1" topLeftCell="F1" zoomScale="115" zoomScaleNormal="115" workbookViewId="0">
      <selection activeCell="K7" sqref="K7"/>
    </sheetView>
  </sheetViews>
  <sheetFormatPr defaultRowHeight="14.4" x14ac:dyDescent="0.3"/>
  <cols>
    <col min="1" max="1" width="8.88671875" style="31"/>
    <col min="2" max="2" width="25.5546875" style="29" customWidth="1"/>
    <col min="3" max="3" width="34.44140625" style="29" customWidth="1"/>
    <col min="4" max="4" width="31.88671875" style="29" customWidth="1"/>
    <col min="5" max="5" width="11.5546875" style="29" customWidth="1"/>
    <col min="6" max="6" width="9.6640625" style="29" customWidth="1"/>
    <col min="7" max="7" width="33.6640625" customWidth="1"/>
    <col min="8" max="8" width="11.33203125" customWidth="1"/>
    <col min="9" max="9" width="12.33203125" customWidth="1"/>
    <col min="10" max="10" width="39.5546875" customWidth="1"/>
    <col min="11" max="11" width="11.5546875" customWidth="1"/>
    <col min="12" max="12" width="8.6640625" customWidth="1"/>
    <col min="13" max="13" width="21.33203125" customWidth="1"/>
    <col min="14" max="14" width="12.6640625" customWidth="1"/>
    <col min="15" max="15" width="7.5546875" customWidth="1"/>
    <col min="16" max="16" width="7.33203125" customWidth="1"/>
    <col min="17" max="17" width="38.6640625" customWidth="1"/>
    <col min="18" max="18" width="28.109375" customWidth="1"/>
    <col min="19" max="19" width="37.6640625" customWidth="1"/>
  </cols>
  <sheetData>
    <row r="1" spans="1:20" x14ac:dyDescent="0.3">
      <c r="A1" s="32" t="s">
        <v>0</v>
      </c>
      <c r="B1" s="27" t="s">
        <v>1</v>
      </c>
      <c r="C1" s="27" t="s">
        <v>2</v>
      </c>
      <c r="D1" s="41" t="s">
        <v>3</v>
      </c>
      <c r="E1" s="27" t="s">
        <v>4</v>
      </c>
      <c r="F1" s="27" t="s">
        <v>5</v>
      </c>
      <c r="G1" s="21" t="s">
        <v>6</v>
      </c>
      <c r="H1" s="21" t="s">
        <v>7</v>
      </c>
      <c r="I1" s="21" t="s">
        <v>8</v>
      </c>
      <c r="J1" s="21" t="s">
        <v>9</v>
      </c>
      <c r="K1" s="21" t="s">
        <v>10</v>
      </c>
      <c r="L1" s="21" t="s">
        <v>11</v>
      </c>
      <c r="M1" s="21" t="s">
        <v>12</v>
      </c>
      <c r="N1" s="21" t="s">
        <v>13</v>
      </c>
      <c r="O1" s="21" t="s">
        <v>14</v>
      </c>
      <c r="P1" s="21" t="s">
        <v>15</v>
      </c>
      <c r="Q1" s="21" t="s">
        <v>16</v>
      </c>
      <c r="R1" s="21" t="s">
        <v>17</v>
      </c>
      <c r="S1" s="21" t="s">
        <v>18</v>
      </c>
    </row>
    <row r="2" spans="1:20" x14ac:dyDescent="0.3">
      <c r="A2" s="24">
        <v>3</v>
      </c>
      <c r="B2" s="59" t="s">
        <v>308</v>
      </c>
      <c r="C2" s="28" t="s">
        <v>309</v>
      </c>
      <c r="D2" s="28" t="s">
        <v>36</v>
      </c>
      <c r="E2" s="28" t="s">
        <v>22</v>
      </c>
      <c r="F2" s="28" t="s">
        <v>22</v>
      </c>
      <c r="G2" s="22" t="s">
        <v>310</v>
      </c>
      <c r="H2" s="22" t="s">
        <v>311</v>
      </c>
      <c r="I2" s="22" t="s">
        <v>57</v>
      </c>
      <c r="J2" t="s">
        <v>312</v>
      </c>
      <c r="K2" s="22" t="s">
        <v>96</v>
      </c>
      <c r="L2" s="22" t="s">
        <v>40</v>
      </c>
      <c r="M2" t="s">
        <v>92</v>
      </c>
      <c r="N2" s="22" t="s">
        <v>30</v>
      </c>
      <c r="O2" s="22" t="s">
        <v>313</v>
      </c>
      <c r="P2" s="22" t="s">
        <v>314</v>
      </c>
      <c r="Q2" s="22" t="s">
        <v>315</v>
      </c>
      <c r="R2" s="22" t="s">
        <v>123</v>
      </c>
      <c r="S2" t="s">
        <v>316</v>
      </c>
    </row>
    <row r="3" spans="1:20" x14ac:dyDescent="0.3">
      <c r="A3" s="26">
        <v>1</v>
      </c>
      <c r="B3" s="59"/>
      <c r="C3" s="28" t="s">
        <v>317</v>
      </c>
      <c r="D3" s="28" t="s">
        <v>36</v>
      </c>
      <c r="E3" s="28" t="s">
        <v>22</v>
      </c>
      <c r="F3" s="28" t="s">
        <v>22</v>
      </c>
      <c r="G3" s="22" t="s">
        <v>318</v>
      </c>
      <c r="H3" s="22" t="s">
        <v>311</v>
      </c>
      <c r="I3" s="22" t="s">
        <v>57</v>
      </c>
      <c r="J3" t="s">
        <v>319</v>
      </c>
      <c r="K3" s="22" t="s">
        <v>96</v>
      </c>
      <c r="L3" s="22" t="s">
        <v>40</v>
      </c>
      <c r="M3" t="s">
        <v>92</v>
      </c>
      <c r="N3" s="22" t="s">
        <v>66</v>
      </c>
      <c r="O3" s="22" t="s">
        <v>320</v>
      </c>
      <c r="P3" s="22" t="s">
        <v>314</v>
      </c>
      <c r="Q3" t="s">
        <v>321</v>
      </c>
      <c r="R3" s="22" t="s">
        <v>123</v>
      </c>
      <c r="S3" t="s">
        <v>322</v>
      </c>
    </row>
    <row r="4" spans="1:20" x14ac:dyDescent="0.3">
      <c r="A4" s="23">
        <v>2</v>
      </c>
      <c r="B4" s="28" t="s">
        <v>323</v>
      </c>
      <c r="C4" s="28" t="s">
        <v>324</v>
      </c>
      <c r="D4" s="28" t="s">
        <v>325</v>
      </c>
      <c r="E4" s="28" t="s">
        <v>22</v>
      </c>
      <c r="F4" s="28" t="s">
        <v>22</v>
      </c>
      <c r="G4" s="22" t="s">
        <v>326</v>
      </c>
      <c r="H4" s="22" t="s">
        <v>110</v>
      </c>
      <c r="I4" s="22" t="s">
        <v>25</v>
      </c>
      <c r="J4" s="22" t="s">
        <v>327</v>
      </c>
      <c r="K4" s="22" t="s">
        <v>27</v>
      </c>
      <c r="L4" s="22" t="s">
        <v>28</v>
      </c>
      <c r="M4" s="22" t="s">
        <v>328</v>
      </c>
      <c r="N4" s="22" t="s">
        <v>30</v>
      </c>
      <c r="O4" s="22" t="s">
        <v>112</v>
      </c>
      <c r="P4" s="22" t="s">
        <v>113</v>
      </c>
      <c r="Q4" s="22"/>
      <c r="R4" s="22" t="s">
        <v>33</v>
      </c>
      <c r="S4" t="s">
        <v>329</v>
      </c>
    </row>
    <row r="5" spans="1:20" x14ac:dyDescent="0.3">
      <c r="A5" s="23">
        <v>2</v>
      </c>
      <c r="B5" s="28" t="s">
        <v>330</v>
      </c>
      <c r="C5" s="28" t="s">
        <v>331</v>
      </c>
      <c r="D5" s="28" t="s">
        <v>36</v>
      </c>
      <c r="E5" s="28" t="s">
        <v>22</v>
      </c>
      <c r="F5" s="28" t="s">
        <v>22</v>
      </c>
      <c r="G5" s="22" t="s">
        <v>331</v>
      </c>
      <c r="H5" s="22" t="s">
        <v>62</v>
      </c>
      <c r="I5" s="22" t="s">
        <v>57</v>
      </c>
      <c r="J5" t="s">
        <v>332</v>
      </c>
      <c r="K5" s="22" t="s">
        <v>135</v>
      </c>
      <c r="L5" s="22" t="s">
        <v>40</v>
      </c>
      <c r="M5" s="22" t="s">
        <v>328</v>
      </c>
      <c r="N5" s="22" t="s">
        <v>30</v>
      </c>
      <c r="O5" s="22" t="s">
        <v>333</v>
      </c>
      <c r="P5" s="22" t="s">
        <v>334</v>
      </c>
      <c r="Q5" s="22"/>
      <c r="R5" s="22" t="s">
        <v>33</v>
      </c>
      <c r="S5" t="s">
        <v>335</v>
      </c>
    </row>
    <row r="6" spans="1:20" x14ac:dyDescent="0.3">
      <c r="A6" s="26">
        <v>1</v>
      </c>
      <c r="B6" s="60" t="s">
        <v>336</v>
      </c>
      <c r="C6" s="28" t="s">
        <v>337</v>
      </c>
      <c r="D6" s="28" t="s">
        <v>166</v>
      </c>
      <c r="E6" s="28" t="s">
        <v>22</v>
      </c>
      <c r="F6" s="28" t="s">
        <v>22</v>
      </c>
      <c r="G6" s="22" t="s">
        <v>338</v>
      </c>
      <c r="H6" s="22" t="s">
        <v>38</v>
      </c>
      <c r="I6" s="22" t="s">
        <v>25</v>
      </c>
      <c r="J6" t="s">
        <v>339</v>
      </c>
      <c r="K6" s="30" t="s">
        <v>96</v>
      </c>
      <c r="L6" s="22" t="s">
        <v>28</v>
      </c>
      <c r="M6" t="s">
        <v>92</v>
      </c>
      <c r="N6" s="22" t="s">
        <v>66</v>
      </c>
      <c r="O6" s="22" t="s">
        <v>31</v>
      </c>
      <c r="P6" s="22" t="s">
        <v>32</v>
      </c>
      <c r="Q6" s="22"/>
      <c r="R6" s="22" t="s">
        <v>33</v>
      </c>
      <c r="S6" t="s">
        <v>340</v>
      </c>
    </row>
    <row r="7" spans="1:20" s="31" customFormat="1" x14ac:dyDescent="0.3">
      <c r="A7" s="23">
        <v>2</v>
      </c>
      <c r="B7" s="60"/>
      <c r="C7" s="28" t="s">
        <v>341</v>
      </c>
      <c r="D7" s="28" t="s">
        <v>83</v>
      </c>
      <c r="E7" s="28" t="s">
        <v>22</v>
      </c>
      <c r="F7" s="28" t="s">
        <v>22</v>
      </c>
      <c r="G7" s="22" t="s">
        <v>342</v>
      </c>
      <c r="H7" s="22" t="s">
        <v>110</v>
      </c>
      <c r="I7" s="22" t="s">
        <v>25</v>
      </c>
      <c r="J7" s="22" t="s">
        <v>343</v>
      </c>
      <c r="K7" s="22" t="s">
        <v>27</v>
      </c>
      <c r="L7" s="22" t="s">
        <v>28</v>
      </c>
      <c r="M7" s="22" t="s">
        <v>328</v>
      </c>
      <c r="N7" s="22" t="s">
        <v>30</v>
      </c>
      <c r="O7" s="22" t="s">
        <v>112</v>
      </c>
      <c r="P7" s="22" t="s">
        <v>113</v>
      </c>
      <c r="Q7" s="22" t="s">
        <v>344</v>
      </c>
      <c r="R7" s="22" t="s">
        <v>33</v>
      </c>
      <c r="S7" t="s">
        <v>345</v>
      </c>
      <c r="T7"/>
    </row>
    <row r="8" spans="1:20" x14ac:dyDescent="0.3">
      <c r="A8" s="26">
        <v>1</v>
      </c>
      <c r="B8" s="59" t="s">
        <v>346</v>
      </c>
      <c r="C8" s="28" t="s">
        <v>347</v>
      </c>
      <c r="D8" s="28" t="s">
        <v>36</v>
      </c>
      <c r="E8" s="28" t="s">
        <v>22</v>
      </c>
      <c r="F8" s="28" t="s">
        <v>22</v>
      </c>
      <c r="G8" s="22" t="s">
        <v>348</v>
      </c>
      <c r="H8" s="22" t="s">
        <v>24</v>
      </c>
      <c r="I8" s="22" t="s">
        <v>25</v>
      </c>
      <c r="J8" t="s">
        <v>349</v>
      </c>
      <c r="K8" s="22" t="s">
        <v>27</v>
      </c>
      <c r="L8" s="22" t="s">
        <v>28</v>
      </c>
      <c r="M8" t="s">
        <v>350</v>
      </c>
      <c r="N8" s="22" t="s">
        <v>30</v>
      </c>
      <c r="O8" s="22" t="s">
        <v>31</v>
      </c>
      <c r="P8" s="22" t="s">
        <v>32</v>
      </c>
      <c r="Q8" t="s">
        <v>351</v>
      </c>
      <c r="R8" s="22" t="s">
        <v>33</v>
      </c>
      <c r="S8" t="s">
        <v>352</v>
      </c>
    </row>
    <row r="9" spans="1:20" x14ac:dyDescent="0.3">
      <c r="A9" s="23">
        <v>2</v>
      </c>
      <c r="B9" s="59"/>
      <c r="C9" s="28" t="s">
        <v>353</v>
      </c>
      <c r="D9" s="28" t="s">
        <v>36</v>
      </c>
      <c r="E9" s="28" t="s">
        <v>22</v>
      </c>
      <c r="F9" s="28" t="s">
        <v>22</v>
      </c>
      <c r="G9" s="22" t="s">
        <v>354</v>
      </c>
      <c r="H9" s="22" t="s">
        <v>56</v>
      </c>
      <c r="I9" s="22" t="s">
        <v>25</v>
      </c>
      <c r="J9" s="22" t="s">
        <v>355</v>
      </c>
      <c r="K9" s="22" t="s">
        <v>96</v>
      </c>
      <c r="L9" s="22" t="s">
        <v>28</v>
      </c>
      <c r="M9" t="s">
        <v>92</v>
      </c>
      <c r="N9" s="22" t="s">
        <v>30</v>
      </c>
      <c r="O9" s="22" t="s">
        <v>31</v>
      </c>
      <c r="P9" s="22" t="s">
        <v>540</v>
      </c>
      <c r="Q9" s="22"/>
      <c r="R9" s="22" t="s">
        <v>33</v>
      </c>
      <c r="S9" t="s">
        <v>356</v>
      </c>
    </row>
    <row r="10" spans="1:20" x14ac:dyDescent="0.3">
      <c r="A10" s="26"/>
      <c r="B10" s="59"/>
      <c r="C10" s="39" t="s">
        <v>357</v>
      </c>
      <c r="D10" s="39" t="s">
        <v>36</v>
      </c>
      <c r="E10" s="39" t="s">
        <v>22</v>
      </c>
      <c r="F10" s="39"/>
      <c r="G10" s="34" t="s">
        <v>45</v>
      </c>
      <c r="H10" s="34"/>
      <c r="I10" s="34"/>
      <c r="J10" s="34"/>
      <c r="K10" s="34"/>
      <c r="L10" s="34"/>
      <c r="M10" s="34"/>
      <c r="N10" s="34"/>
      <c r="O10" s="34"/>
      <c r="P10" s="34"/>
      <c r="Q10" s="34"/>
      <c r="R10" s="34"/>
      <c r="S10" s="34" t="s">
        <v>45</v>
      </c>
    </row>
    <row r="11" spans="1:20" x14ac:dyDescent="0.3">
      <c r="A11" s="24"/>
      <c r="B11" s="59"/>
      <c r="C11" s="28" t="s">
        <v>358</v>
      </c>
      <c r="D11" s="28" t="s">
        <v>325</v>
      </c>
      <c r="E11" s="28" t="s">
        <v>22</v>
      </c>
      <c r="F11" s="28" t="s">
        <v>22</v>
      </c>
      <c r="G11" s="22" t="s">
        <v>359</v>
      </c>
      <c r="H11" s="22" t="s">
        <v>110</v>
      </c>
      <c r="I11" s="22" t="s">
        <v>25</v>
      </c>
      <c r="J11" s="22" t="s">
        <v>360</v>
      </c>
      <c r="K11" s="22" t="s">
        <v>27</v>
      </c>
      <c r="L11" s="22" t="s">
        <v>28</v>
      </c>
      <c r="M11" t="s">
        <v>92</v>
      </c>
      <c r="N11" s="22" t="s">
        <v>30</v>
      </c>
      <c r="O11" s="22" t="s">
        <v>112</v>
      </c>
      <c r="P11" s="22" t="s">
        <v>113</v>
      </c>
      <c r="Q11" s="22"/>
      <c r="R11" s="22" t="s">
        <v>33</v>
      </c>
      <c r="S11" t="s">
        <v>361</v>
      </c>
    </row>
    <row r="12" spans="1:20" x14ac:dyDescent="0.3">
      <c r="A12" s="23">
        <v>2</v>
      </c>
      <c r="B12" s="59"/>
      <c r="C12" s="28" t="s">
        <v>362</v>
      </c>
      <c r="D12" s="60" t="s">
        <v>166</v>
      </c>
      <c r="E12" s="28" t="s">
        <v>22</v>
      </c>
      <c r="F12" s="28" t="s">
        <v>22</v>
      </c>
      <c r="G12" s="22" t="s">
        <v>363</v>
      </c>
      <c r="H12" s="22" t="s">
        <v>364</v>
      </c>
      <c r="I12" s="22" t="s">
        <v>25</v>
      </c>
      <c r="J12" s="22" t="s">
        <v>365</v>
      </c>
      <c r="K12" s="22" t="s">
        <v>96</v>
      </c>
      <c r="L12" s="22" t="s">
        <v>40</v>
      </c>
      <c r="M12" t="s">
        <v>92</v>
      </c>
      <c r="N12" s="22" t="s">
        <v>30</v>
      </c>
      <c r="O12" s="22" t="s">
        <v>366</v>
      </c>
      <c r="P12" s="22" t="s">
        <v>113</v>
      </c>
      <c r="Q12" s="22" t="s">
        <v>541</v>
      </c>
      <c r="R12" s="22" t="s">
        <v>33</v>
      </c>
      <c r="S12" t="s">
        <v>367</v>
      </c>
    </row>
    <row r="13" spans="1:20" x14ac:dyDescent="0.3">
      <c r="A13" s="23">
        <v>2</v>
      </c>
      <c r="B13" s="59"/>
      <c r="C13" s="28" t="s">
        <v>362</v>
      </c>
      <c r="D13" s="60"/>
      <c r="E13" s="28" t="s">
        <v>22</v>
      </c>
      <c r="F13" s="28" t="s">
        <v>22</v>
      </c>
      <c r="G13" s="22" t="s">
        <v>368</v>
      </c>
      <c r="H13" s="22" t="s">
        <v>369</v>
      </c>
      <c r="I13" s="22" t="s">
        <v>25</v>
      </c>
      <c r="J13" s="22" t="s">
        <v>370</v>
      </c>
      <c r="K13" s="22" t="s">
        <v>96</v>
      </c>
      <c r="L13" s="22" t="s">
        <v>40</v>
      </c>
      <c r="M13" t="s">
        <v>92</v>
      </c>
      <c r="N13" s="22" t="s">
        <v>30</v>
      </c>
      <c r="O13" s="22" t="s">
        <v>112</v>
      </c>
      <c r="P13" s="22" t="s">
        <v>113</v>
      </c>
      <c r="Q13" s="22" t="s">
        <v>541</v>
      </c>
      <c r="R13" s="22" t="s">
        <v>33</v>
      </c>
      <c r="S13" t="s">
        <v>371</v>
      </c>
    </row>
    <row r="14" spans="1:20" x14ac:dyDescent="0.3">
      <c r="A14" s="23">
        <v>2</v>
      </c>
      <c r="B14" s="59"/>
      <c r="C14" s="28" t="s">
        <v>362</v>
      </c>
      <c r="D14" s="60"/>
      <c r="E14" s="28" t="s">
        <v>22</v>
      </c>
      <c r="F14" s="28" t="s">
        <v>22</v>
      </c>
      <c r="G14" s="22" t="s">
        <v>372</v>
      </c>
      <c r="H14" s="22" t="s">
        <v>373</v>
      </c>
      <c r="I14" s="22" t="s">
        <v>25</v>
      </c>
      <c r="J14" s="22" t="s">
        <v>374</v>
      </c>
      <c r="K14" s="22" t="s">
        <v>96</v>
      </c>
      <c r="L14" s="22" t="s">
        <v>40</v>
      </c>
      <c r="M14" t="s">
        <v>92</v>
      </c>
      <c r="N14" s="22" t="s">
        <v>30</v>
      </c>
      <c r="O14" s="22" t="s">
        <v>366</v>
      </c>
      <c r="P14" s="22" t="s">
        <v>113</v>
      </c>
      <c r="Q14" s="22" t="s">
        <v>541</v>
      </c>
      <c r="R14" s="22" t="s">
        <v>33</v>
      </c>
      <c r="S14" t="s">
        <v>375</v>
      </c>
    </row>
    <row r="15" spans="1:20" x14ac:dyDescent="0.3">
      <c r="A15" s="33" t="s">
        <v>45</v>
      </c>
      <c r="B15" s="35" t="s">
        <v>376</v>
      </c>
      <c r="C15" s="35" t="s">
        <v>377</v>
      </c>
      <c r="D15" s="35" t="s">
        <v>21</v>
      </c>
      <c r="E15" s="35" t="s">
        <v>22</v>
      </c>
      <c r="F15" s="35"/>
      <c r="G15" s="44" t="s">
        <v>45</v>
      </c>
      <c r="H15" s="44"/>
      <c r="I15" s="44"/>
      <c r="J15" s="44"/>
      <c r="K15" s="35"/>
      <c r="L15" s="35"/>
      <c r="M15" s="35"/>
      <c r="N15" s="35"/>
      <c r="O15" s="35"/>
      <c r="P15" s="35"/>
      <c r="Q15" s="44" t="s">
        <v>378</v>
      </c>
      <c r="R15" s="35"/>
      <c r="S15" s="34" t="s">
        <v>45</v>
      </c>
    </row>
  </sheetData>
  <sortState xmlns:xlrd2="http://schemas.microsoft.com/office/spreadsheetml/2017/richdata2" ref="A2:S15">
    <sortCondition ref="B2:B15"/>
    <sortCondition ref="C2:C15"/>
    <sortCondition ref="G2:G15"/>
  </sortState>
  <mergeCells count="4">
    <mergeCell ref="B2:B3"/>
    <mergeCell ref="B8:B14"/>
    <mergeCell ref="B6:B7"/>
    <mergeCell ref="D12:D14"/>
  </mergeCells>
  <conditionalFormatting sqref="M2:N3 S11 M11:N14">
    <cfRule type="cellIs" dxfId="22" priority="12" operator="equal">
      <formula>"NONE"</formula>
    </cfRule>
  </conditionalFormatting>
  <conditionalFormatting sqref="N5">
    <cfRule type="cellIs" dxfId="21" priority="1" operator="equal">
      <formula>"NONE"</formula>
    </cfRule>
  </conditionalFormatting>
  <conditionalFormatting sqref="N7 M8:N9">
    <cfRule type="cellIs" dxfId="20" priority="2" operator="equal">
      <formula>"NONE"</formula>
    </cfRule>
  </conditionalFormatting>
  <conditionalFormatting sqref="S2:S3 S5 S8:S9">
    <cfRule type="cellIs" dxfId="19" priority="14" operator="equal">
      <formula>"NONE"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29AFA-0DDE-5049-B8DC-113E6F66B101}">
  <dimension ref="A1:S22"/>
  <sheetViews>
    <sheetView zoomScale="115" zoomScaleNormal="115" workbookViewId="0">
      <pane ySplit="1" topLeftCell="A2" activePane="bottomLeft" state="frozen"/>
      <selection pane="bottomLeft" activeCell="C28" sqref="C28"/>
    </sheetView>
  </sheetViews>
  <sheetFormatPr defaultRowHeight="14.4" x14ac:dyDescent="0.3"/>
  <cols>
    <col min="1" max="1" width="9" customWidth="1"/>
    <col min="2" max="2" width="29.44140625" style="29" customWidth="1"/>
    <col min="3" max="4" width="31" style="29" customWidth="1"/>
    <col min="5" max="5" width="10.109375" style="29" customWidth="1"/>
    <col min="6" max="6" width="10.33203125" style="29" customWidth="1"/>
    <col min="7" max="7" width="30.109375" customWidth="1"/>
    <col min="8" max="8" width="14.6640625" customWidth="1"/>
    <col min="9" max="9" width="18.44140625" customWidth="1"/>
    <col min="10" max="10" width="27.33203125" customWidth="1"/>
    <col min="11" max="11" width="13.6640625" customWidth="1"/>
    <col min="13" max="13" width="17.5546875" customWidth="1"/>
    <col min="14" max="14" width="13.5546875" customWidth="1"/>
    <col min="17" max="17" width="37.33203125" customWidth="1"/>
    <col min="18" max="18" width="23.5546875" customWidth="1"/>
    <col min="19" max="19" width="20.44140625" customWidth="1"/>
  </cols>
  <sheetData>
    <row r="1" spans="1:19" s="31" customFormat="1" x14ac:dyDescent="0.3">
      <c r="A1" s="17" t="s">
        <v>0</v>
      </c>
      <c r="B1" s="36" t="s">
        <v>1</v>
      </c>
      <c r="C1" s="36" t="s">
        <v>2</v>
      </c>
      <c r="D1" s="58" t="s">
        <v>3</v>
      </c>
      <c r="E1" s="36" t="s">
        <v>4</v>
      </c>
      <c r="F1" s="36" t="s">
        <v>5</v>
      </c>
      <c r="G1" s="17" t="s">
        <v>6</v>
      </c>
      <c r="H1" s="17" t="s">
        <v>7</v>
      </c>
      <c r="I1" s="17" t="s">
        <v>8</v>
      </c>
      <c r="J1" s="17" t="s">
        <v>9</v>
      </c>
      <c r="K1" s="17" t="s">
        <v>10</v>
      </c>
      <c r="L1" s="17" t="s">
        <v>11</v>
      </c>
      <c r="M1" s="17" t="s">
        <v>12</v>
      </c>
      <c r="N1" s="17" t="s">
        <v>13</v>
      </c>
      <c r="O1" s="17" t="s">
        <v>14</v>
      </c>
      <c r="P1" s="17" t="s">
        <v>15</v>
      </c>
      <c r="Q1" s="17" t="s">
        <v>16</v>
      </c>
      <c r="R1" s="17" t="s">
        <v>17</v>
      </c>
      <c r="S1" s="21" t="s">
        <v>18</v>
      </c>
    </row>
    <row r="2" spans="1:19" s="31" customFormat="1" x14ac:dyDescent="0.3">
      <c r="A2" s="33" t="s">
        <v>45</v>
      </c>
      <c r="B2" s="61" t="s">
        <v>379</v>
      </c>
      <c r="C2" s="37" t="s">
        <v>380</v>
      </c>
      <c r="D2" s="37" t="s">
        <v>36</v>
      </c>
      <c r="E2" s="37" t="s">
        <v>22</v>
      </c>
      <c r="F2" s="37"/>
      <c r="G2" s="20" t="s">
        <v>45</v>
      </c>
      <c r="H2" s="20"/>
      <c r="I2" s="20"/>
      <c r="J2" s="20"/>
      <c r="K2" s="20"/>
      <c r="L2" s="20"/>
      <c r="M2" s="20"/>
      <c r="N2" s="20"/>
      <c r="O2" s="20"/>
      <c r="P2" s="20"/>
      <c r="Q2" s="20"/>
      <c r="R2" s="20"/>
      <c r="S2" s="20" t="s">
        <v>45</v>
      </c>
    </row>
    <row r="3" spans="1:19" s="31" customFormat="1" x14ac:dyDescent="0.3">
      <c r="A3" s="33" t="s">
        <v>45</v>
      </c>
      <c r="B3" s="61"/>
      <c r="C3" s="37" t="s">
        <v>381</v>
      </c>
      <c r="D3" s="37" t="s">
        <v>47</v>
      </c>
      <c r="E3" s="37" t="s">
        <v>22</v>
      </c>
      <c r="F3" s="37"/>
      <c r="G3" s="20" t="s">
        <v>45</v>
      </c>
      <c r="H3" s="20"/>
      <c r="I3" s="20"/>
      <c r="J3" s="20"/>
      <c r="K3" s="20"/>
      <c r="L3" s="20"/>
      <c r="M3" s="20"/>
      <c r="N3" s="20"/>
      <c r="O3" s="20"/>
      <c r="P3" s="20"/>
      <c r="Q3" s="20"/>
      <c r="R3" s="20"/>
      <c r="S3" s="20" t="s">
        <v>45</v>
      </c>
    </row>
    <row r="4" spans="1:19" s="31" customFormat="1" x14ac:dyDescent="0.3">
      <c r="A4" s="33" t="s">
        <v>45</v>
      </c>
      <c r="B4" s="61"/>
      <c r="C4" s="37" t="s">
        <v>382</v>
      </c>
      <c r="D4" s="37" t="s">
        <v>36</v>
      </c>
      <c r="E4" s="37" t="s">
        <v>22</v>
      </c>
      <c r="F4" s="37"/>
      <c r="G4" s="20" t="s">
        <v>45</v>
      </c>
      <c r="H4" s="20"/>
      <c r="I4" s="20"/>
      <c r="J4" s="20"/>
      <c r="K4" s="20"/>
      <c r="L4" s="20"/>
      <c r="M4" s="20"/>
      <c r="N4" s="20"/>
      <c r="O4" s="20"/>
      <c r="P4" s="20"/>
      <c r="Q4" s="20"/>
      <c r="R4" s="20"/>
      <c r="S4" s="20" t="s">
        <v>45</v>
      </c>
    </row>
    <row r="5" spans="1:19" s="31" customFormat="1" x14ac:dyDescent="0.3">
      <c r="A5" s="33" t="s">
        <v>45</v>
      </c>
      <c r="B5" s="61"/>
      <c r="C5" s="37" t="s">
        <v>383</v>
      </c>
      <c r="D5" s="37" t="s">
        <v>47</v>
      </c>
      <c r="E5" s="37" t="s">
        <v>22</v>
      </c>
      <c r="F5" s="37"/>
      <c r="G5" s="20" t="s">
        <v>45</v>
      </c>
      <c r="H5" s="20"/>
      <c r="I5" s="20"/>
      <c r="J5" s="20"/>
      <c r="K5" s="20"/>
      <c r="L5" s="20"/>
      <c r="M5" s="20"/>
      <c r="N5" s="20"/>
      <c r="O5" s="20"/>
      <c r="P5" s="20"/>
      <c r="Q5" s="20"/>
      <c r="R5" s="20"/>
      <c r="S5" s="20" t="s">
        <v>45</v>
      </c>
    </row>
    <row r="6" spans="1:19" s="31" customFormat="1" x14ac:dyDescent="0.3">
      <c r="A6">
        <v>2</v>
      </c>
      <c r="B6" s="61"/>
      <c r="C6" s="29" t="s">
        <v>384</v>
      </c>
      <c r="D6" s="29" t="s">
        <v>36</v>
      </c>
      <c r="E6" s="29" t="s">
        <v>22</v>
      </c>
      <c r="F6" s="29" t="s">
        <v>22</v>
      </c>
      <c r="G6" t="s">
        <v>385</v>
      </c>
      <c r="H6" s="29" t="s">
        <v>110</v>
      </c>
      <c r="I6" t="s">
        <v>63</v>
      </c>
      <c r="J6" t="s">
        <v>386</v>
      </c>
      <c r="K6" t="s">
        <v>27</v>
      </c>
      <c r="L6" t="s">
        <v>40</v>
      </c>
      <c r="M6" t="s">
        <v>65</v>
      </c>
      <c r="N6" t="s">
        <v>66</v>
      </c>
      <c r="O6" t="s">
        <v>260</v>
      </c>
      <c r="P6" t="s">
        <v>261</v>
      </c>
      <c r="Q6" t="s">
        <v>262</v>
      </c>
      <c r="R6" t="s">
        <v>33</v>
      </c>
      <c r="S6" t="s">
        <v>387</v>
      </c>
    </row>
    <row r="7" spans="1:19" s="31" customFormat="1" x14ac:dyDescent="0.3">
      <c r="A7" s="33" t="s">
        <v>45</v>
      </c>
      <c r="B7" s="61"/>
      <c r="C7" s="37" t="s">
        <v>388</v>
      </c>
      <c r="D7" s="37" t="s">
        <v>47</v>
      </c>
      <c r="E7" s="37" t="s">
        <v>22</v>
      </c>
      <c r="F7" s="37"/>
      <c r="G7" t="s">
        <v>45</v>
      </c>
      <c r="H7" s="20"/>
      <c r="I7" s="20"/>
      <c r="J7" s="20"/>
      <c r="K7" s="20"/>
      <c r="L7" s="20"/>
      <c r="M7" s="20"/>
      <c r="N7" s="20"/>
      <c r="O7" s="20"/>
      <c r="P7" s="20"/>
      <c r="Q7" s="20"/>
      <c r="R7" s="20"/>
      <c r="S7" s="20" t="s">
        <v>45</v>
      </c>
    </row>
    <row r="8" spans="1:19" s="31" customFormat="1" x14ac:dyDescent="0.3">
      <c r="A8" s="33" t="s">
        <v>45</v>
      </c>
      <c r="B8" s="61"/>
      <c r="C8" s="37" t="s">
        <v>389</v>
      </c>
      <c r="D8" s="37" t="s">
        <v>36</v>
      </c>
      <c r="E8" s="37" t="s">
        <v>22</v>
      </c>
      <c r="F8" s="37"/>
      <c r="G8" t="s">
        <v>45</v>
      </c>
      <c r="H8" s="20"/>
      <c r="I8" s="20"/>
      <c r="J8" s="20"/>
      <c r="K8" s="20"/>
      <c r="L8" s="20"/>
      <c r="M8" s="20"/>
      <c r="N8" s="20"/>
      <c r="O8" s="20"/>
      <c r="P8" s="20"/>
      <c r="Q8" s="20"/>
      <c r="R8" s="20"/>
      <c r="S8" s="20" t="s">
        <v>45</v>
      </c>
    </row>
    <row r="9" spans="1:19" s="31" customFormat="1" x14ac:dyDescent="0.3">
      <c r="A9">
        <v>2</v>
      </c>
      <c r="B9" s="61" t="s">
        <v>390</v>
      </c>
      <c r="C9" s="29" t="s">
        <v>391</v>
      </c>
      <c r="D9" s="29" t="s">
        <v>36</v>
      </c>
      <c r="E9" s="29" t="s">
        <v>22</v>
      </c>
      <c r="F9" s="29" t="s">
        <v>22</v>
      </c>
      <c r="G9" t="s">
        <v>392</v>
      </c>
      <c r="H9" s="29" t="s">
        <v>393</v>
      </c>
      <c r="I9" t="s">
        <v>25</v>
      </c>
      <c r="J9" t="s">
        <v>394</v>
      </c>
      <c r="K9" t="s">
        <v>27</v>
      </c>
      <c r="L9" t="s">
        <v>40</v>
      </c>
      <c r="M9" t="s">
        <v>395</v>
      </c>
      <c r="N9" t="s">
        <v>66</v>
      </c>
      <c r="O9" t="s">
        <v>31</v>
      </c>
      <c r="P9" t="s">
        <v>32</v>
      </c>
      <c r="Q9" t="s">
        <v>396</v>
      </c>
      <c r="R9" t="s">
        <v>33</v>
      </c>
      <c r="S9" t="s">
        <v>397</v>
      </c>
    </row>
    <row r="10" spans="1:19" s="31" customFormat="1" x14ac:dyDescent="0.3">
      <c r="A10">
        <v>3</v>
      </c>
      <c r="B10" s="61"/>
      <c r="C10" s="29" t="s">
        <v>398</v>
      </c>
      <c r="D10" s="29" t="s">
        <v>36</v>
      </c>
      <c r="E10" s="29" t="s">
        <v>22</v>
      </c>
      <c r="F10" s="29"/>
      <c r="G10" t="s">
        <v>399</v>
      </c>
      <c r="H10" s="29" t="s">
        <v>104</v>
      </c>
      <c r="I10" t="s">
        <v>25</v>
      </c>
      <c r="J10" t="s">
        <v>400</v>
      </c>
      <c r="K10" t="s">
        <v>27</v>
      </c>
      <c r="L10" t="s">
        <v>28</v>
      </c>
      <c r="M10" t="s">
        <v>395</v>
      </c>
      <c r="N10" t="s">
        <v>401</v>
      </c>
      <c r="O10" t="s">
        <v>31</v>
      </c>
      <c r="P10" t="s">
        <v>32</v>
      </c>
      <c r="Q10"/>
      <c r="R10" t="s">
        <v>33</v>
      </c>
      <c r="S10" t="s">
        <v>402</v>
      </c>
    </row>
    <row r="11" spans="1:19" s="31" customFormat="1" x14ac:dyDescent="0.3">
      <c r="A11">
        <v>3</v>
      </c>
      <c r="B11" s="61"/>
      <c r="C11" s="29" t="s">
        <v>403</v>
      </c>
      <c r="D11" s="29" t="s">
        <v>36</v>
      </c>
      <c r="E11" s="29" t="s">
        <v>22</v>
      </c>
      <c r="F11" s="29"/>
      <c r="G11" t="s">
        <v>404</v>
      </c>
      <c r="H11" s="29" t="s">
        <v>62</v>
      </c>
      <c r="I11" t="s">
        <v>25</v>
      </c>
      <c r="J11" t="s">
        <v>405</v>
      </c>
      <c r="K11" t="s">
        <v>27</v>
      </c>
      <c r="L11" t="s">
        <v>28</v>
      </c>
      <c r="M11" t="s">
        <v>395</v>
      </c>
      <c r="N11" t="s">
        <v>30</v>
      </c>
      <c r="O11" t="s">
        <v>31</v>
      </c>
      <c r="P11" t="s">
        <v>32</v>
      </c>
      <c r="Q11"/>
      <c r="R11" t="s">
        <v>33</v>
      </c>
      <c r="S11" t="s">
        <v>406</v>
      </c>
    </row>
    <row r="12" spans="1:19" s="31" customFormat="1" x14ac:dyDescent="0.3">
      <c r="A12" s="33" t="s">
        <v>45</v>
      </c>
      <c r="B12" s="61"/>
      <c r="C12" s="37" t="s">
        <v>407</v>
      </c>
      <c r="D12" s="37" t="s">
        <v>36</v>
      </c>
      <c r="E12" s="37" t="s">
        <v>22</v>
      </c>
      <c r="F12" s="37"/>
      <c r="G12" t="s">
        <v>45</v>
      </c>
      <c r="H12" s="20"/>
      <c r="I12" s="20"/>
      <c r="J12" s="20"/>
      <c r="K12" s="20"/>
      <c r="L12" s="20"/>
      <c r="M12" s="20"/>
      <c r="N12" s="20"/>
      <c r="O12" s="20"/>
      <c r="P12" s="20"/>
      <c r="Q12" s="20" t="s">
        <v>408</v>
      </c>
      <c r="R12" s="20"/>
      <c r="S12" s="20" t="s">
        <v>45</v>
      </c>
    </row>
    <row r="13" spans="1:19" s="31" customFormat="1" x14ac:dyDescent="0.3">
      <c r="A13" s="33"/>
      <c r="B13" s="61" t="s">
        <v>409</v>
      </c>
      <c r="C13" s="29" t="s">
        <v>410</v>
      </c>
      <c r="D13" s="29" t="s">
        <v>36</v>
      </c>
      <c r="E13" s="29" t="s">
        <v>22</v>
      </c>
      <c r="F13" s="29"/>
      <c r="G13" t="s">
        <v>411</v>
      </c>
      <c r="H13" t="s">
        <v>412</v>
      </c>
      <c r="I13" t="s">
        <v>63</v>
      </c>
      <c r="J13" t="s">
        <v>413</v>
      </c>
      <c r="K13" t="s">
        <v>27</v>
      </c>
      <c r="L13" t="s">
        <v>40</v>
      </c>
      <c r="M13" t="s">
        <v>65</v>
      </c>
      <c r="N13" t="s">
        <v>66</v>
      </c>
      <c r="O13" t="s">
        <v>414</v>
      </c>
      <c r="P13" t="s">
        <v>415</v>
      </c>
      <c r="Q13"/>
      <c r="R13" t="s">
        <v>33</v>
      </c>
      <c r="S13" t="s">
        <v>416</v>
      </c>
    </row>
    <row r="14" spans="1:19" s="31" customFormat="1" x14ac:dyDescent="0.3">
      <c r="A14">
        <v>1</v>
      </c>
      <c r="B14" s="61"/>
      <c r="C14" s="29" t="s">
        <v>417</v>
      </c>
      <c r="D14" s="29" t="s">
        <v>166</v>
      </c>
      <c r="E14" s="29" t="s">
        <v>22</v>
      </c>
      <c r="F14" s="29"/>
      <c r="G14" t="s">
        <v>418</v>
      </c>
      <c r="H14" s="29" t="s">
        <v>38</v>
      </c>
      <c r="I14" t="s">
        <v>63</v>
      </c>
      <c r="J14" t="s">
        <v>419</v>
      </c>
      <c r="K14" t="s">
        <v>96</v>
      </c>
      <c r="L14" t="s">
        <v>420</v>
      </c>
      <c r="M14" t="s">
        <v>65</v>
      </c>
      <c r="N14" t="s">
        <v>30</v>
      </c>
      <c r="O14" t="s">
        <v>237</v>
      </c>
      <c r="P14" t="s">
        <v>238</v>
      </c>
      <c r="Q14"/>
      <c r="R14" t="s">
        <v>33</v>
      </c>
      <c r="S14" t="s">
        <v>421</v>
      </c>
    </row>
    <row r="15" spans="1:19" s="31" customFormat="1" x14ac:dyDescent="0.3">
      <c r="A15" s="33" t="s">
        <v>45</v>
      </c>
      <c r="B15" s="61"/>
      <c r="C15" s="37" t="s">
        <v>422</v>
      </c>
      <c r="D15" s="37" t="s">
        <v>36</v>
      </c>
      <c r="E15" s="37" t="s">
        <v>22</v>
      </c>
      <c r="F15" s="37"/>
      <c r="G15" s="20" t="s">
        <v>45</v>
      </c>
      <c r="H15" s="20"/>
      <c r="I15" s="20"/>
      <c r="J15" s="20"/>
      <c r="K15" s="20"/>
      <c r="L15" s="20"/>
      <c r="M15" s="20"/>
      <c r="N15" s="20"/>
      <c r="O15" s="20"/>
      <c r="P15" s="20"/>
      <c r="Q15" s="20" t="s">
        <v>423</v>
      </c>
      <c r="R15" s="20"/>
      <c r="S15" s="20" t="s">
        <v>45</v>
      </c>
    </row>
    <row r="16" spans="1:19" s="31" customFormat="1" x14ac:dyDescent="0.3">
      <c r="A16" s="33" t="s">
        <v>45</v>
      </c>
      <c r="B16" s="61"/>
      <c r="C16" s="37" t="s">
        <v>424</v>
      </c>
      <c r="D16" s="37" t="s">
        <v>47</v>
      </c>
      <c r="E16" s="37" t="s">
        <v>22</v>
      </c>
      <c r="F16" s="37"/>
      <c r="G16" s="20" t="s">
        <v>45</v>
      </c>
      <c r="H16" s="20"/>
      <c r="I16" s="20"/>
      <c r="J16" s="20"/>
      <c r="K16" s="20"/>
      <c r="L16" s="20"/>
      <c r="M16" s="20"/>
      <c r="N16" s="20"/>
      <c r="O16" s="20"/>
      <c r="P16" s="20"/>
      <c r="Q16" s="20" t="s">
        <v>423</v>
      </c>
      <c r="R16" s="20"/>
      <c r="S16" s="20" t="s">
        <v>45</v>
      </c>
    </row>
    <row r="17" spans="1:19" x14ac:dyDescent="0.3">
      <c r="A17" s="33" t="s">
        <v>45</v>
      </c>
      <c r="B17" s="61" t="s">
        <v>425</v>
      </c>
      <c r="C17" s="37" t="s">
        <v>426</v>
      </c>
      <c r="D17" s="37" t="s">
        <v>36</v>
      </c>
      <c r="E17" s="37" t="s">
        <v>22</v>
      </c>
      <c r="F17" s="37"/>
      <c r="G17" s="20" t="s">
        <v>45</v>
      </c>
      <c r="H17" s="20"/>
      <c r="I17" s="20"/>
      <c r="J17" s="20"/>
      <c r="K17" s="20"/>
      <c r="L17" s="20"/>
      <c r="M17" s="20"/>
      <c r="N17" s="20"/>
      <c r="O17" s="20"/>
      <c r="P17" s="20"/>
      <c r="Q17" s="20"/>
      <c r="R17" s="20"/>
      <c r="S17" s="20" t="s">
        <v>45</v>
      </c>
    </row>
    <row r="18" spans="1:19" x14ac:dyDescent="0.3">
      <c r="A18" s="33" t="s">
        <v>45</v>
      </c>
      <c r="B18" s="61"/>
      <c r="C18" s="37" t="s">
        <v>427</v>
      </c>
      <c r="D18" s="37" t="s">
        <v>47</v>
      </c>
      <c r="E18" s="37" t="s">
        <v>22</v>
      </c>
      <c r="F18" s="37"/>
      <c r="G18" t="s">
        <v>45</v>
      </c>
      <c r="H18" s="20"/>
      <c r="I18" s="20"/>
      <c r="J18" s="20"/>
      <c r="K18" s="20"/>
      <c r="L18" s="20"/>
      <c r="M18" s="20"/>
      <c r="N18" s="20"/>
      <c r="O18" s="20"/>
      <c r="P18" s="20"/>
      <c r="Q18" s="20" t="s">
        <v>428</v>
      </c>
      <c r="R18" s="56" t="s">
        <v>429</v>
      </c>
      <c r="S18" s="20" t="s">
        <v>45</v>
      </c>
    </row>
    <row r="19" spans="1:19" s="31" customFormat="1" x14ac:dyDescent="0.3">
      <c r="A19" s="20">
        <v>2</v>
      </c>
      <c r="B19" s="61"/>
      <c r="C19" s="29" t="s">
        <v>430</v>
      </c>
      <c r="D19" s="29" t="s">
        <v>36</v>
      </c>
      <c r="E19" s="29" t="s">
        <v>22</v>
      </c>
      <c r="F19" s="29" t="s">
        <v>22</v>
      </c>
      <c r="G19" t="s">
        <v>431</v>
      </c>
      <c r="H19" s="29" t="s">
        <v>38</v>
      </c>
      <c r="I19" t="s">
        <v>63</v>
      </c>
      <c r="J19" s="29" t="s">
        <v>432</v>
      </c>
      <c r="K19" t="s">
        <v>27</v>
      </c>
      <c r="L19" t="s">
        <v>28</v>
      </c>
      <c r="M19" t="s">
        <v>65</v>
      </c>
      <c r="N19" t="s">
        <v>211</v>
      </c>
      <c r="O19" t="s">
        <v>67</v>
      </c>
      <c r="P19" t="s">
        <v>68</v>
      </c>
      <c r="Q19"/>
      <c r="R19" t="s">
        <v>33</v>
      </c>
      <c r="S19" t="s">
        <v>433</v>
      </c>
    </row>
    <row r="20" spans="1:19" s="31" customFormat="1" x14ac:dyDescent="0.3">
      <c r="A20">
        <v>2</v>
      </c>
      <c r="B20" s="61" t="s">
        <v>434</v>
      </c>
      <c r="C20" s="29" t="s">
        <v>435</v>
      </c>
      <c r="D20" s="29" t="s">
        <v>83</v>
      </c>
      <c r="E20" s="29" t="s">
        <v>22</v>
      </c>
      <c r="F20" s="29" t="s">
        <v>22</v>
      </c>
      <c r="G20" t="s">
        <v>436</v>
      </c>
      <c r="H20" s="29" t="s">
        <v>437</v>
      </c>
      <c r="I20" t="s">
        <v>25</v>
      </c>
      <c r="J20" t="s">
        <v>438</v>
      </c>
      <c r="K20" t="s">
        <v>27</v>
      </c>
      <c r="L20" t="s">
        <v>28</v>
      </c>
      <c r="M20" t="s">
        <v>328</v>
      </c>
      <c r="N20" t="s">
        <v>30</v>
      </c>
      <c r="O20" t="s">
        <v>31</v>
      </c>
      <c r="P20" t="s">
        <v>32</v>
      </c>
      <c r="Q20"/>
      <c r="R20" t="s">
        <v>33</v>
      </c>
      <c r="S20" t="s">
        <v>439</v>
      </c>
    </row>
    <row r="21" spans="1:19" s="31" customFormat="1" x14ac:dyDescent="0.3">
      <c r="A21">
        <v>2</v>
      </c>
      <c r="B21" s="61"/>
      <c r="C21" s="37" t="s">
        <v>440</v>
      </c>
      <c r="D21" s="37"/>
      <c r="E21" s="37" t="s">
        <v>22</v>
      </c>
      <c r="F21" s="37"/>
      <c r="G21" s="19" t="s">
        <v>45</v>
      </c>
      <c r="H21" s="20"/>
      <c r="I21" s="20"/>
      <c r="J21" s="20"/>
      <c r="K21" s="20"/>
      <c r="L21" s="20"/>
      <c r="M21" s="20"/>
      <c r="N21" s="20"/>
      <c r="O21" s="20"/>
      <c r="P21" s="20"/>
      <c r="Q21" s="20" t="s">
        <v>441</v>
      </c>
      <c r="R21" s="20"/>
      <c r="S21" s="20" t="s">
        <v>45</v>
      </c>
    </row>
    <row r="22" spans="1:19" x14ac:dyDescent="0.3">
      <c r="A22" s="22"/>
    </row>
  </sheetData>
  <autoFilter ref="A1:S1" xr:uid="{9FB29AFA-0DDE-5049-B8DC-113E6F66B101}"/>
  <sortState xmlns:xlrd2="http://schemas.microsoft.com/office/spreadsheetml/2017/richdata2" ref="A2:S21">
    <sortCondition ref="B2:B21"/>
    <sortCondition ref="C2:C21"/>
    <sortCondition ref="G2:G21"/>
  </sortState>
  <mergeCells count="5">
    <mergeCell ref="B17:B19"/>
    <mergeCell ref="B20:B21"/>
    <mergeCell ref="B2:B8"/>
    <mergeCell ref="B9:B12"/>
    <mergeCell ref="B13:B16"/>
  </mergeCells>
  <conditionalFormatting sqref="A1">
    <cfRule type="cellIs" dxfId="18" priority="17" operator="equal">
      <formula>"pull it"</formula>
    </cfRule>
    <cfRule type="cellIs" dxfId="17" priority="19" operator="equal">
      <formula>"find source"</formula>
    </cfRule>
    <cfRule type="containsBlanks" dxfId="16" priority="20">
      <formula>LEN(TRIM(A1))=0</formula>
    </cfRule>
    <cfRule type="cellIs" dxfId="15" priority="21" operator="equal">
      <formula>"done"</formula>
    </cfRule>
    <cfRule type="cellIs" dxfId="14" priority="22" operator="equal">
      <formula>"rework"</formula>
    </cfRule>
  </conditionalFormatting>
  <conditionalFormatting sqref="A6 A9:A11 A13:A14 A17 A20:A21">
    <cfRule type="cellIs" dxfId="13" priority="26" operator="equal">
      <formula>3</formula>
    </cfRule>
    <cfRule type="cellIs" dxfId="12" priority="27" operator="equal">
      <formula>2</formula>
    </cfRule>
    <cfRule type="cellIs" dxfId="11" priority="28" operator="equal">
      <formula>1</formula>
    </cfRule>
  </conditionalFormatting>
  <conditionalFormatting sqref="G1:J8 S2:S12 K6:L6 N6 M10:N11 G10:J21 K13:L13 N13:N14 S14:S21 K19">
    <cfRule type="cellIs" dxfId="10" priority="18" operator="equal">
      <formula>"NONE"</formula>
    </cfRule>
  </conditionalFormatting>
  <conditionalFormatting sqref="G9:N9">
    <cfRule type="cellIs" dxfId="9" priority="1" operator="equal">
      <formula>"NONE"</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DD47A-AE44-4647-A357-A220BC698A77}">
  <dimension ref="A1:B40"/>
  <sheetViews>
    <sheetView zoomScale="115" zoomScaleNormal="115" workbookViewId="0">
      <selection activeCell="A7" sqref="A7:B7"/>
    </sheetView>
  </sheetViews>
  <sheetFormatPr defaultRowHeight="14.4" x14ac:dyDescent="0.3"/>
  <cols>
    <col min="1" max="1" width="25.6640625" customWidth="1"/>
    <col min="2" max="2" width="97.6640625" customWidth="1"/>
  </cols>
  <sheetData>
    <row r="1" spans="1:2" ht="15" thickBot="1" x14ac:dyDescent="0.35">
      <c r="A1" s="3" t="s">
        <v>442</v>
      </c>
    </row>
    <row r="2" spans="1:2" x14ac:dyDescent="0.3">
      <c r="A2" s="64" t="s">
        <v>443</v>
      </c>
      <c r="B2" s="65"/>
    </row>
    <row r="3" spans="1:2" x14ac:dyDescent="0.3">
      <c r="A3" s="66" t="s">
        <v>444</v>
      </c>
      <c r="B3" s="67"/>
    </row>
    <row r="4" spans="1:2" x14ac:dyDescent="0.3">
      <c r="A4" s="66"/>
      <c r="B4" s="67"/>
    </row>
    <row r="5" spans="1:2" x14ac:dyDescent="0.3">
      <c r="A5" s="66" t="s">
        <v>445</v>
      </c>
      <c r="B5" s="67"/>
    </row>
    <row r="6" spans="1:2" x14ac:dyDescent="0.3">
      <c r="A6" s="62" t="s">
        <v>446</v>
      </c>
      <c r="B6" s="63"/>
    </row>
    <row r="7" spans="1:2" x14ac:dyDescent="0.3">
      <c r="A7" s="62"/>
      <c r="B7" s="63"/>
    </row>
    <row r="8" spans="1:2" x14ac:dyDescent="0.3">
      <c r="A8" s="66" t="s">
        <v>447</v>
      </c>
      <c r="B8" s="67"/>
    </row>
    <row r="9" spans="1:2" x14ac:dyDescent="0.3">
      <c r="A9" s="62" t="s">
        <v>448</v>
      </c>
      <c r="B9" s="63"/>
    </row>
    <row r="10" spans="1:2" x14ac:dyDescent="0.3">
      <c r="A10" s="62"/>
      <c r="B10" s="63"/>
    </row>
    <row r="11" spans="1:2" ht="32.25" customHeight="1" x14ac:dyDescent="0.3">
      <c r="A11" s="70" t="s">
        <v>449</v>
      </c>
      <c r="B11" s="71"/>
    </row>
    <row r="12" spans="1:2" x14ac:dyDescent="0.3">
      <c r="A12" s="72" t="s">
        <v>450</v>
      </c>
      <c r="B12" s="67"/>
    </row>
    <row r="13" spans="1:2" x14ac:dyDescent="0.3">
      <c r="A13" s="73"/>
      <c r="B13" s="67"/>
    </row>
    <row r="14" spans="1:2" x14ac:dyDescent="0.3">
      <c r="A14" s="66" t="s">
        <v>451</v>
      </c>
      <c r="B14" s="67"/>
    </row>
    <row r="15" spans="1:2" ht="15" thickBot="1" x14ac:dyDescent="0.35">
      <c r="A15" s="68" t="s">
        <v>452</v>
      </c>
      <c r="B15" s="69"/>
    </row>
    <row r="17" spans="1:2" ht="15" thickBot="1" x14ac:dyDescent="0.35">
      <c r="A17" s="4" t="s">
        <v>453</v>
      </c>
      <c r="B17" s="2"/>
    </row>
    <row r="18" spans="1:2" x14ac:dyDescent="0.3">
      <c r="A18" s="5" t="s">
        <v>17</v>
      </c>
      <c r="B18" s="6" t="s">
        <v>454</v>
      </c>
    </row>
    <row r="19" spans="1:2" x14ac:dyDescent="0.3">
      <c r="A19" s="9" t="s">
        <v>455</v>
      </c>
      <c r="B19" s="7" t="s">
        <v>456</v>
      </c>
    </row>
    <row r="20" spans="1:2" ht="28.8" x14ac:dyDescent="0.3">
      <c r="A20" s="9" t="s">
        <v>5</v>
      </c>
      <c r="B20" s="7" t="s">
        <v>457</v>
      </c>
    </row>
    <row r="21" spans="1:2" x14ac:dyDescent="0.3">
      <c r="A21" s="9" t="s">
        <v>8</v>
      </c>
      <c r="B21" s="7" t="s">
        <v>458</v>
      </c>
    </row>
    <row r="22" spans="1:2" x14ac:dyDescent="0.3">
      <c r="A22" s="9" t="s">
        <v>459</v>
      </c>
      <c r="B22" s="7" t="s">
        <v>460</v>
      </c>
    </row>
    <row r="23" spans="1:2" ht="28.8" x14ac:dyDescent="0.3">
      <c r="A23" s="9" t="s">
        <v>18</v>
      </c>
      <c r="B23" s="7" t="s">
        <v>461</v>
      </c>
    </row>
    <row r="24" spans="1:2" x14ac:dyDescent="0.3">
      <c r="A24" s="9" t="s">
        <v>10</v>
      </c>
      <c r="B24" s="7" t="s">
        <v>462</v>
      </c>
    </row>
    <row r="25" spans="1:2" x14ac:dyDescent="0.3">
      <c r="A25" s="9" t="s">
        <v>11</v>
      </c>
      <c r="B25" s="7" t="s">
        <v>463</v>
      </c>
    </row>
    <row r="26" spans="1:2" ht="28.8" x14ac:dyDescent="0.3">
      <c r="A26" s="9" t="s">
        <v>12</v>
      </c>
      <c r="B26" s="7" t="s">
        <v>464</v>
      </c>
    </row>
    <row r="27" spans="1:2" x14ac:dyDescent="0.3">
      <c r="A27" s="9" t="s">
        <v>13</v>
      </c>
      <c r="B27" s="7" t="s">
        <v>465</v>
      </c>
    </row>
    <row r="28" spans="1:2" ht="28.8" x14ac:dyDescent="0.3">
      <c r="A28" s="9" t="s">
        <v>466</v>
      </c>
      <c r="B28" s="7" t="s">
        <v>467</v>
      </c>
    </row>
    <row r="29" spans="1:2" ht="28.8" x14ac:dyDescent="0.3">
      <c r="A29" s="9" t="s">
        <v>0</v>
      </c>
      <c r="B29" s="7" t="s">
        <v>468</v>
      </c>
    </row>
    <row r="30" spans="1:2" x14ac:dyDescent="0.3">
      <c r="A30" s="9" t="s">
        <v>469</v>
      </c>
      <c r="B30" s="7" t="s">
        <v>470</v>
      </c>
    </row>
    <row r="31" spans="1:2" ht="15" thickBot="1" x14ac:dyDescent="0.35">
      <c r="A31" s="10" t="s">
        <v>471</v>
      </c>
      <c r="B31" s="8" t="s">
        <v>472</v>
      </c>
    </row>
    <row r="32" spans="1:2" x14ac:dyDescent="0.3">
      <c r="A32" s="2"/>
      <c r="B32" s="2"/>
    </row>
    <row r="33" spans="1:2" ht="15" thickBot="1" x14ac:dyDescent="0.35">
      <c r="A33" s="4" t="s">
        <v>473</v>
      </c>
      <c r="B33" s="2"/>
    </row>
    <row r="34" spans="1:2" ht="43.2" x14ac:dyDescent="0.3">
      <c r="A34" s="11" t="s">
        <v>474</v>
      </c>
      <c r="B34" s="12" t="s">
        <v>475</v>
      </c>
    </row>
    <row r="35" spans="1:2" x14ac:dyDescent="0.3">
      <c r="A35" s="13" t="s">
        <v>45</v>
      </c>
      <c r="B35" s="14" t="s">
        <v>476</v>
      </c>
    </row>
    <row r="36" spans="1:2" ht="43.8" thickBot="1" x14ac:dyDescent="0.35">
      <c r="A36" s="15" t="s">
        <v>477</v>
      </c>
      <c r="B36" s="16" t="s">
        <v>478</v>
      </c>
    </row>
    <row r="38" spans="1:2" x14ac:dyDescent="0.3">
      <c r="A38" s="4" t="s">
        <v>479</v>
      </c>
    </row>
    <row r="39" spans="1:2" x14ac:dyDescent="0.3">
      <c r="A39" t="s">
        <v>480</v>
      </c>
    </row>
    <row r="40" spans="1:2" x14ac:dyDescent="0.3">
      <c r="A40" s="43"/>
    </row>
  </sheetData>
  <mergeCells count="14">
    <mergeCell ref="A14:B14"/>
    <mergeCell ref="A15:B15"/>
    <mergeCell ref="A8:B8"/>
    <mergeCell ref="A9:B9"/>
    <mergeCell ref="A10:B10"/>
    <mergeCell ref="A11:B11"/>
    <mergeCell ref="A12:B12"/>
    <mergeCell ref="A13:B13"/>
    <mergeCell ref="A7:B7"/>
    <mergeCell ref="A2:B2"/>
    <mergeCell ref="A3:B3"/>
    <mergeCell ref="A4:B4"/>
    <mergeCell ref="A5:B5"/>
    <mergeCell ref="A6:B6"/>
  </mergeCells>
  <hyperlinks>
    <hyperlink ref="A9" r:id="rId1" xr:uid="{A59DB292-A126-46C8-AAB0-2FF5AD1DDD57}"/>
    <hyperlink ref="A6" r:id="rId2" xr:uid="{04A5646B-BC93-4F91-A457-0E2545C99588}"/>
    <hyperlink ref="A15" r:id="rId3" xr:uid="{79492BD0-B8CB-4A77-8112-96AA269BD759}"/>
    <hyperlink ref="A12" r:id="rId4" xr:uid="{9743A1EE-0CA4-4214-AE4E-4F575765727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65C56-A834-4ED4-A193-64A017DCA518}">
  <dimension ref="A1:I29"/>
  <sheetViews>
    <sheetView zoomScale="115" zoomScaleNormal="115" workbookViewId="0">
      <pane ySplit="1" topLeftCell="A8" activePane="bottomLeft" state="frozen"/>
      <selection pane="bottomLeft" activeCell="C21" sqref="C21"/>
    </sheetView>
  </sheetViews>
  <sheetFormatPr defaultRowHeight="15" customHeight="1" x14ac:dyDescent="0.3"/>
  <cols>
    <col min="1" max="1" width="11" customWidth="1"/>
    <col min="2" max="2" width="29.33203125" customWidth="1"/>
    <col min="3" max="3" width="30.6640625" customWidth="1"/>
    <col min="4" max="4" width="11.88671875" customWidth="1"/>
    <col min="5" max="5" width="10" customWidth="1"/>
    <col min="6" max="6" width="28" customWidth="1"/>
    <col min="7" max="7" width="22.33203125" customWidth="1"/>
    <col min="8" max="8" width="97.6640625" customWidth="1"/>
    <col min="9" max="9" width="48.44140625" customWidth="1"/>
  </cols>
  <sheetData>
    <row r="1" spans="1:9" s="1" customFormat="1" ht="14.4" x14ac:dyDescent="0.3">
      <c r="A1" s="17" t="s">
        <v>17</v>
      </c>
      <c r="B1" s="17" t="s">
        <v>6</v>
      </c>
      <c r="C1" s="17" t="s">
        <v>18</v>
      </c>
      <c r="D1" s="17" t="s">
        <v>10</v>
      </c>
      <c r="E1" s="17" t="s">
        <v>11</v>
      </c>
      <c r="F1" s="17" t="s">
        <v>16</v>
      </c>
      <c r="G1" s="17" t="s">
        <v>469</v>
      </c>
      <c r="H1" s="17" t="s">
        <v>14</v>
      </c>
      <c r="I1" s="17" t="s">
        <v>15</v>
      </c>
    </row>
    <row r="2" spans="1:9" ht="14.4" x14ac:dyDescent="0.3">
      <c r="A2" t="s">
        <v>33</v>
      </c>
      <c r="B2" t="s">
        <v>59</v>
      </c>
      <c r="C2" t="s">
        <v>481</v>
      </c>
      <c r="D2" t="s">
        <v>27</v>
      </c>
      <c r="E2" t="s">
        <v>40</v>
      </c>
      <c r="H2" t="s">
        <v>482</v>
      </c>
      <c r="I2" t="s">
        <v>483</v>
      </c>
    </row>
    <row r="3" spans="1:9" ht="15" customHeight="1" x14ac:dyDescent="0.3">
      <c r="A3" t="s">
        <v>33</v>
      </c>
      <c r="B3" t="s">
        <v>484</v>
      </c>
      <c r="C3" t="s">
        <v>485</v>
      </c>
      <c r="D3" t="s">
        <v>27</v>
      </c>
      <c r="E3" t="s">
        <v>40</v>
      </c>
      <c r="H3" t="s">
        <v>482</v>
      </c>
      <c r="I3" t="s">
        <v>483</v>
      </c>
    </row>
    <row r="4" spans="1:9" ht="15" customHeight="1" x14ac:dyDescent="0.3">
      <c r="A4" t="s">
        <v>33</v>
      </c>
      <c r="B4" t="s">
        <v>486</v>
      </c>
      <c r="C4" t="s">
        <v>487</v>
      </c>
      <c r="D4" t="s">
        <v>27</v>
      </c>
      <c r="E4" t="s">
        <v>28</v>
      </c>
      <c r="F4" t="s">
        <v>488</v>
      </c>
      <c r="H4" t="s">
        <v>31</v>
      </c>
      <c r="I4" t="s">
        <v>32</v>
      </c>
    </row>
    <row r="5" spans="1:9" ht="15" customHeight="1" x14ac:dyDescent="0.3">
      <c r="A5" t="s">
        <v>33</v>
      </c>
      <c r="B5" t="s">
        <v>489</v>
      </c>
      <c r="C5" t="s">
        <v>490</v>
      </c>
      <c r="D5" t="s">
        <v>27</v>
      </c>
      <c r="E5" t="s">
        <v>28</v>
      </c>
      <c r="H5" t="s">
        <v>31</v>
      </c>
      <c r="I5" t="s">
        <v>32</v>
      </c>
    </row>
    <row r="6" spans="1:9" ht="14.4" x14ac:dyDescent="0.3">
      <c r="A6" t="s">
        <v>33</v>
      </c>
      <c r="B6" t="s">
        <v>491</v>
      </c>
      <c r="C6" t="s">
        <v>492</v>
      </c>
      <c r="D6" t="s">
        <v>27</v>
      </c>
      <c r="E6" t="s">
        <v>40</v>
      </c>
      <c r="F6" t="s">
        <v>493</v>
      </c>
      <c r="H6" t="s">
        <v>494</v>
      </c>
    </row>
    <row r="7" spans="1:9" ht="14.4" x14ac:dyDescent="0.3">
      <c r="A7" t="s">
        <v>33</v>
      </c>
      <c r="B7" t="s">
        <v>495</v>
      </c>
      <c r="C7" t="s">
        <v>496</v>
      </c>
      <c r="D7" t="s">
        <v>27</v>
      </c>
      <c r="E7" t="s">
        <v>28</v>
      </c>
      <c r="F7" t="s">
        <v>497</v>
      </c>
      <c r="H7" t="s">
        <v>494</v>
      </c>
    </row>
    <row r="8" spans="1:9" ht="14.4" x14ac:dyDescent="0.3">
      <c r="A8" t="s">
        <v>33</v>
      </c>
      <c r="B8" t="s">
        <v>498</v>
      </c>
      <c r="C8" t="s">
        <v>499</v>
      </c>
      <c r="D8" t="s">
        <v>27</v>
      </c>
      <c r="E8" t="s">
        <v>28</v>
      </c>
      <c r="F8" t="s">
        <v>497</v>
      </c>
      <c r="H8" t="s">
        <v>494</v>
      </c>
    </row>
    <row r="9" spans="1:9" ht="15" customHeight="1" x14ac:dyDescent="0.3">
      <c r="A9" t="s">
        <v>33</v>
      </c>
      <c r="B9" t="s">
        <v>500</v>
      </c>
      <c r="C9" t="s">
        <v>501</v>
      </c>
      <c r="D9" t="s">
        <v>502</v>
      </c>
      <c r="E9" t="s">
        <v>502</v>
      </c>
      <c r="H9" t="s">
        <v>503</v>
      </c>
    </row>
    <row r="10" spans="1:9" ht="15" customHeight="1" x14ac:dyDescent="0.3">
      <c r="A10" t="s">
        <v>33</v>
      </c>
      <c r="B10" t="s">
        <v>504</v>
      </c>
      <c r="C10" t="s">
        <v>505</v>
      </c>
      <c r="D10" t="s">
        <v>502</v>
      </c>
      <c r="E10" t="s">
        <v>502</v>
      </c>
      <c r="H10" t="s">
        <v>503</v>
      </c>
    </row>
    <row r="11" spans="1:9" ht="15" customHeight="1" x14ac:dyDescent="0.3">
      <c r="A11" t="s">
        <v>33</v>
      </c>
      <c r="B11" t="s">
        <v>506</v>
      </c>
      <c r="C11" t="s">
        <v>507</v>
      </c>
      <c r="D11" t="s">
        <v>135</v>
      </c>
      <c r="E11" t="s">
        <v>40</v>
      </c>
      <c r="F11" t="s">
        <v>508</v>
      </c>
      <c r="H11" t="s">
        <v>509</v>
      </c>
    </row>
    <row r="12" spans="1:9" ht="15" customHeight="1" x14ac:dyDescent="0.3">
      <c r="A12" t="s">
        <v>33</v>
      </c>
      <c r="B12" t="s">
        <v>510</v>
      </c>
      <c r="C12" t="s">
        <v>511</v>
      </c>
      <c r="D12" t="s">
        <v>27</v>
      </c>
      <c r="E12" t="s">
        <v>40</v>
      </c>
      <c r="F12" t="s">
        <v>512</v>
      </c>
      <c r="H12" t="s">
        <v>513</v>
      </c>
    </row>
    <row r="13" spans="1:9" ht="15" customHeight="1" x14ac:dyDescent="0.3">
      <c r="A13" t="s">
        <v>33</v>
      </c>
      <c r="B13" t="s">
        <v>514</v>
      </c>
      <c r="C13" t="s">
        <v>515</v>
      </c>
      <c r="D13" t="s">
        <v>27</v>
      </c>
      <c r="E13" t="s">
        <v>28</v>
      </c>
      <c r="F13" t="s">
        <v>516</v>
      </c>
      <c r="H13" t="s">
        <v>31</v>
      </c>
      <c r="I13" t="s">
        <v>32</v>
      </c>
    </row>
    <row r="14" spans="1:9" ht="15" customHeight="1" x14ac:dyDescent="0.3">
      <c r="A14" t="s">
        <v>33</v>
      </c>
      <c r="B14" t="s">
        <v>517</v>
      </c>
      <c r="C14" t="s">
        <v>518</v>
      </c>
      <c r="D14" t="s">
        <v>27</v>
      </c>
      <c r="E14" t="s">
        <v>28</v>
      </c>
      <c r="F14" t="s">
        <v>516</v>
      </c>
      <c r="H14" t="s">
        <v>31</v>
      </c>
      <c r="I14" t="s">
        <v>32</v>
      </c>
    </row>
    <row r="15" spans="1:9" ht="15" customHeight="1" x14ac:dyDescent="0.3">
      <c r="A15" t="s">
        <v>33</v>
      </c>
      <c r="B15" t="s">
        <v>519</v>
      </c>
      <c r="C15" t="s">
        <v>520</v>
      </c>
      <c r="D15" t="s">
        <v>27</v>
      </c>
      <c r="E15" t="s">
        <v>28</v>
      </c>
      <c r="F15" t="s">
        <v>516</v>
      </c>
      <c r="H15" t="s">
        <v>31</v>
      </c>
      <c r="I15" t="s">
        <v>32</v>
      </c>
    </row>
    <row r="16" spans="1:9" ht="15" customHeight="1" x14ac:dyDescent="0.3">
      <c r="A16" t="s">
        <v>33</v>
      </c>
      <c r="B16" t="s">
        <v>521</v>
      </c>
      <c r="C16" t="s">
        <v>522</v>
      </c>
      <c r="D16" t="s">
        <v>27</v>
      </c>
      <c r="E16" t="s">
        <v>28</v>
      </c>
      <c r="F16" t="s">
        <v>516</v>
      </c>
      <c r="H16" t="s">
        <v>31</v>
      </c>
      <c r="I16" t="s">
        <v>32</v>
      </c>
    </row>
    <row r="17" spans="1:9" ht="15" customHeight="1" x14ac:dyDescent="0.3">
      <c r="A17" t="s">
        <v>33</v>
      </c>
      <c r="B17" t="s">
        <v>523</v>
      </c>
      <c r="C17" t="s">
        <v>524</v>
      </c>
      <c r="D17" t="s">
        <v>27</v>
      </c>
      <c r="E17" t="s">
        <v>28</v>
      </c>
      <c r="F17" t="s">
        <v>516</v>
      </c>
      <c r="H17" t="s">
        <v>31</v>
      </c>
      <c r="I17" t="s">
        <v>32</v>
      </c>
    </row>
    <row r="18" spans="1:9" ht="15" customHeight="1" x14ac:dyDescent="0.3">
      <c r="A18" t="s">
        <v>33</v>
      </c>
      <c r="B18" t="s">
        <v>525</v>
      </c>
      <c r="C18" t="s">
        <v>526</v>
      </c>
      <c r="D18" t="s">
        <v>27</v>
      </c>
      <c r="E18" t="s">
        <v>28</v>
      </c>
      <c r="H18" t="s">
        <v>31</v>
      </c>
      <c r="I18" t="s">
        <v>32</v>
      </c>
    </row>
    <row r="19" spans="1:9" ht="15" customHeight="1" x14ac:dyDescent="0.3">
      <c r="A19" t="s">
        <v>33</v>
      </c>
      <c r="B19" t="s">
        <v>527</v>
      </c>
      <c r="C19" t="s">
        <v>528</v>
      </c>
      <c r="D19" t="s">
        <v>27</v>
      </c>
      <c r="E19" t="s">
        <v>28</v>
      </c>
      <c r="H19" t="s">
        <v>31</v>
      </c>
      <c r="I19" t="s">
        <v>32</v>
      </c>
    </row>
    <row r="20" spans="1:9" ht="15" customHeight="1" x14ac:dyDescent="0.3">
      <c r="A20" t="s">
        <v>33</v>
      </c>
      <c r="B20" t="s">
        <v>529</v>
      </c>
      <c r="C20" t="s">
        <v>530</v>
      </c>
      <c r="F20" t="s">
        <v>531</v>
      </c>
    </row>
    <row r="21" spans="1:9" ht="15" customHeight="1" x14ac:dyDescent="0.3">
      <c r="A21" t="s">
        <v>33</v>
      </c>
      <c r="B21" t="s">
        <v>532</v>
      </c>
      <c r="C21" t="s">
        <v>533</v>
      </c>
    </row>
    <row r="22" spans="1:9" ht="15" customHeight="1" x14ac:dyDescent="0.3">
      <c r="A22" t="s">
        <v>534</v>
      </c>
      <c r="B22" t="s">
        <v>535</v>
      </c>
      <c r="F22" t="s">
        <v>536</v>
      </c>
      <c r="G22" t="s">
        <v>537</v>
      </c>
    </row>
    <row r="23" spans="1:9" ht="15" customHeight="1" x14ac:dyDescent="0.3">
      <c r="A23" t="s">
        <v>534</v>
      </c>
      <c r="B23" t="s">
        <v>229</v>
      </c>
      <c r="F23" t="s">
        <v>538</v>
      </c>
      <c r="G23" t="s">
        <v>539</v>
      </c>
    </row>
    <row r="28" spans="1:9" ht="14.4" x14ac:dyDescent="0.3"/>
    <row r="29" spans="1:9" ht="14.4" x14ac:dyDescent="0.3"/>
  </sheetData>
  <autoFilter ref="A1:I7" xr:uid="{00000000-0001-0000-0000-000000000000}"/>
  <conditionalFormatting sqref="A1:A1048576">
    <cfRule type="cellIs" dxfId="8" priority="3" operator="equal">
      <formula>"pull it"</formula>
    </cfRule>
    <cfRule type="cellIs" dxfId="7" priority="6" operator="equal">
      <formula>"find source"</formula>
    </cfRule>
    <cfRule type="containsBlanks" dxfId="6" priority="7">
      <formula>LEN(TRIM(A1))=0</formula>
    </cfRule>
    <cfRule type="cellIs" dxfId="5" priority="11" operator="equal">
      <formula>"done"</formula>
    </cfRule>
    <cfRule type="cellIs" dxfId="4" priority="12" operator="equal">
      <formula>"rework"</formula>
    </cfRule>
  </conditionalFormatting>
  <conditionalFormatting sqref="B1:C1048576">
    <cfRule type="cellIs" dxfId="3" priority="4" operator="equal">
      <formula>"NONE"</formula>
    </cfRule>
  </conditionalFormatting>
  <conditionalFormatting sqref="F4:F5">
    <cfRule type="cellIs" dxfId="2" priority="8" operator="equal">
      <formula>3</formula>
    </cfRule>
    <cfRule type="cellIs" dxfId="1" priority="9" operator="equal">
      <formula>2</formula>
    </cfRule>
    <cfRule type="cellIs" dxfId="0" priority="10" operator="equal">
      <formula>1</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Economics</vt:lpstr>
      <vt:lpstr>Environment</vt:lpstr>
      <vt:lpstr>Health</vt:lpstr>
      <vt:lpstr>Production</vt:lpstr>
      <vt:lpstr>Social</vt:lpstr>
      <vt:lpstr>info</vt:lpstr>
      <vt:lpstr>utilities</vt:lpstr>
      <vt:lpstr>Health!_FilterDatabase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Christopher Donovan</cp:lastModifiedBy>
  <cp:revision/>
  <dcterms:created xsi:type="dcterms:W3CDTF">2025-05-23T15:31:01Z</dcterms:created>
  <dcterms:modified xsi:type="dcterms:W3CDTF">2026-09-02T18:32:28Z</dcterms:modified>
  <cp:category/>
  <cp:contentStatus/>
</cp:coreProperties>
</file>